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estwoodgrp.sharepoint.com/sites/MultiAssets/Shared Documents/Models/AH Claude Code/"/>
    </mc:Choice>
  </mc:AlternateContent>
  <xr:revisionPtr revIDLastSave="0" documentId="8_{AAC9679E-E85C-4AFB-A1BA-8D369D21207F}" xr6:coauthVersionLast="47" xr6:coauthVersionMax="47" xr10:uidLastSave="{00000000-0000-0000-0000-000000000000}"/>
  <bookViews>
    <workbookView xWindow="-120" yWindow="-120" windowWidth="38640" windowHeight="21120" tabRatio="500" activeTab="6" xr2:uid="{00000000-000D-0000-FFFF-FFFF00000000}"/>
  </bookViews>
  <sheets>
    <sheet name="Portfolio Input" sheetId="1" r:id="rId1"/>
    <sheet name="Moat Scoring" sheetId="2" r:id="rId2"/>
    <sheet name="Business Model Risk" sheetId="3" r:id="rId3"/>
    <sheet name="Portfolio Dashboard" sheetId="4" r:id="rId4"/>
    <sheet name="Sector Analysis" sheetId="5" r:id="rId5"/>
    <sheet name="Subsector Analysis" sheetId="6" r:id="rId6"/>
    <sheet name="Methodology &amp; Wiki" sheetId="7" r:id="rId7"/>
    <sheet name="Bloomberg Setu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2" l="1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24" i="1"/>
  <c r="E24" i="1"/>
  <c r="J24" i="1"/>
  <c r="I24" i="1"/>
  <c r="D23" i="1"/>
  <c r="C24" i="1"/>
  <c r="F23" i="1"/>
  <c r="L23" i="1"/>
  <c r="Q24" i="1"/>
  <c r="K23" i="1"/>
  <c r="T24" i="1"/>
  <c r="N23" i="1"/>
  <c r="M24" i="1"/>
  <c r="C23" i="1"/>
  <c r="R23" i="1"/>
  <c r="L24" i="1"/>
  <c r="M23" i="1"/>
  <c r="I23" i="1"/>
  <c r="P24" i="1"/>
  <c r="P23" i="1"/>
  <c r="S23" i="1"/>
  <c r="F24" i="1"/>
  <c r="Q23" i="1"/>
  <c r="K24" i="1"/>
  <c r="O24" i="1"/>
  <c r="J23" i="1"/>
  <c r="B24" i="1"/>
  <c r="H23" i="1"/>
  <c r="B23" i="1"/>
  <c r="O23" i="1"/>
  <c r="T23" i="1"/>
  <c r="R24" i="1"/>
  <c r="E23" i="1"/>
  <c r="H24" i="1"/>
  <c r="N24" i="1"/>
  <c r="S24" i="1"/>
  <c r="D24" i="1"/>
  <c r="G23" i="1"/>
  <c r="N39" i="6"/>
  <c r="H39" i="6"/>
  <c r="O39" i="6" s="1"/>
  <c r="P39" i="6" s="1"/>
  <c r="N38" i="6"/>
  <c r="H38" i="6"/>
  <c r="O38" i="6" s="1"/>
  <c r="P38" i="6" s="1"/>
  <c r="N37" i="6"/>
  <c r="H37" i="6"/>
  <c r="O37" i="6" s="1"/>
  <c r="P37" i="6" s="1"/>
  <c r="P36" i="6"/>
  <c r="O36" i="6"/>
  <c r="N36" i="6"/>
  <c r="H36" i="6"/>
  <c r="N35" i="6"/>
  <c r="H35" i="6"/>
  <c r="O35" i="6" s="1"/>
  <c r="P35" i="6" s="1"/>
  <c r="N34" i="6"/>
  <c r="H34" i="6"/>
  <c r="O34" i="6" s="1"/>
  <c r="P34" i="6" s="1"/>
  <c r="N33" i="6"/>
  <c r="H33" i="6"/>
  <c r="P32" i="6"/>
  <c r="O32" i="6"/>
  <c r="N32" i="6"/>
  <c r="H32" i="6"/>
  <c r="N31" i="6"/>
  <c r="H31" i="6"/>
  <c r="O31" i="6" s="1"/>
  <c r="P31" i="6" s="1"/>
  <c r="N30" i="6"/>
  <c r="H30" i="6"/>
  <c r="O30" i="6" s="1"/>
  <c r="P30" i="6" s="1"/>
  <c r="N29" i="6"/>
  <c r="H29" i="6"/>
  <c r="O29" i="6" s="1"/>
  <c r="P29" i="6" s="1"/>
  <c r="P28" i="6"/>
  <c r="O28" i="6"/>
  <c r="N28" i="6"/>
  <c r="H28" i="6"/>
  <c r="N27" i="6"/>
  <c r="H27" i="6"/>
  <c r="O27" i="6" s="1"/>
  <c r="P27" i="6" s="1"/>
  <c r="N26" i="6"/>
  <c r="H26" i="6"/>
  <c r="O26" i="6" s="1"/>
  <c r="P26" i="6" s="1"/>
  <c r="N25" i="6"/>
  <c r="H25" i="6"/>
  <c r="O25" i="6" s="1"/>
  <c r="P25" i="6" s="1"/>
  <c r="P24" i="6"/>
  <c r="O24" i="6"/>
  <c r="N24" i="6"/>
  <c r="H24" i="6"/>
  <c r="N23" i="6"/>
  <c r="H23" i="6"/>
  <c r="O23" i="6" s="1"/>
  <c r="P23" i="6" s="1"/>
  <c r="N22" i="6"/>
  <c r="H22" i="6"/>
  <c r="O22" i="6" s="1"/>
  <c r="P22" i="6" s="1"/>
  <c r="N21" i="6"/>
  <c r="H21" i="6"/>
  <c r="P20" i="6"/>
  <c r="O20" i="6"/>
  <c r="N20" i="6"/>
  <c r="H20" i="6"/>
  <c r="N19" i="6"/>
  <c r="H19" i="6"/>
  <c r="O19" i="6" s="1"/>
  <c r="P19" i="6" s="1"/>
  <c r="N18" i="6"/>
  <c r="H18" i="6"/>
  <c r="O18" i="6" s="1"/>
  <c r="P18" i="6" s="1"/>
  <c r="N17" i="6"/>
  <c r="H17" i="6"/>
  <c r="O17" i="6" s="1"/>
  <c r="P17" i="6" s="1"/>
  <c r="P16" i="6"/>
  <c r="O16" i="6"/>
  <c r="N16" i="6"/>
  <c r="H16" i="6"/>
  <c r="N15" i="6"/>
  <c r="H15" i="6"/>
  <c r="O15" i="6" s="1"/>
  <c r="P15" i="6" s="1"/>
  <c r="N14" i="6"/>
  <c r="H14" i="6"/>
  <c r="O14" i="6" s="1"/>
  <c r="P14" i="6" s="1"/>
  <c r="N13" i="6"/>
  <c r="H13" i="6"/>
  <c r="O13" i="6" s="1"/>
  <c r="P13" i="6" s="1"/>
  <c r="P12" i="6"/>
  <c r="O12" i="6"/>
  <c r="N12" i="6"/>
  <c r="H12" i="6"/>
  <c r="N11" i="6"/>
  <c r="H11" i="6"/>
  <c r="O11" i="6" s="1"/>
  <c r="P11" i="6" s="1"/>
  <c r="N10" i="6"/>
  <c r="H10" i="6"/>
  <c r="O10" i="6" s="1"/>
  <c r="P10" i="6" s="1"/>
  <c r="N9" i="6"/>
  <c r="H9" i="6"/>
  <c r="O9" i="6" s="1"/>
  <c r="P9" i="6" s="1"/>
  <c r="P8" i="6"/>
  <c r="O8" i="6"/>
  <c r="N8" i="6"/>
  <c r="H8" i="6"/>
  <c r="N7" i="6"/>
  <c r="H7" i="6"/>
  <c r="O7" i="6" s="1"/>
  <c r="P7" i="6" s="1"/>
  <c r="N6" i="6"/>
  <c r="H6" i="6"/>
  <c r="O6" i="6" s="1"/>
  <c r="P6" i="6" s="1"/>
  <c r="N5" i="6"/>
  <c r="H5" i="6"/>
  <c r="O5" i="6" s="1"/>
  <c r="P5" i="6" s="1"/>
  <c r="P4" i="6"/>
  <c r="O4" i="6"/>
  <c r="N4" i="6"/>
  <c r="H4" i="6"/>
  <c r="M14" i="5"/>
  <c r="G14" i="5"/>
  <c r="N14" i="5" s="1"/>
  <c r="O14" i="5" s="1"/>
  <c r="M13" i="5"/>
  <c r="G13" i="5"/>
  <c r="N13" i="5" s="1"/>
  <c r="O13" i="5" s="1"/>
  <c r="M12" i="5"/>
  <c r="G12" i="5"/>
  <c r="O11" i="5"/>
  <c r="N11" i="5"/>
  <c r="M11" i="5"/>
  <c r="G11" i="5"/>
  <c r="M10" i="5"/>
  <c r="G10" i="5"/>
  <c r="N10" i="5" s="1"/>
  <c r="O10" i="5" s="1"/>
  <c r="M9" i="5"/>
  <c r="G9" i="5"/>
  <c r="N9" i="5" s="1"/>
  <c r="O9" i="5" s="1"/>
  <c r="M8" i="5"/>
  <c r="G8" i="5"/>
  <c r="N8" i="5" s="1"/>
  <c r="O8" i="5" s="1"/>
  <c r="O7" i="5"/>
  <c r="N7" i="5"/>
  <c r="M7" i="5"/>
  <c r="G7" i="5"/>
  <c r="M6" i="5"/>
  <c r="G6" i="5"/>
  <c r="N6" i="5" s="1"/>
  <c r="O6" i="5" s="1"/>
  <c r="M5" i="5"/>
  <c r="G5" i="5"/>
  <c r="N5" i="5" s="1"/>
  <c r="O5" i="5" s="1"/>
  <c r="M4" i="5"/>
  <c r="G4" i="5"/>
  <c r="N4" i="5" s="1"/>
  <c r="O4" i="5" s="1"/>
  <c r="I58" i="4"/>
  <c r="A58" i="4"/>
  <c r="I57" i="4"/>
  <c r="A57" i="4"/>
  <c r="I56" i="4"/>
  <c r="A56" i="4"/>
  <c r="I55" i="4"/>
  <c r="A55" i="4"/>
  <c r="I54" i="4"/>
  <c r="A54" i="4"/>
  <c r="I53" i="4"/>
  <c r="A53" i="4"/>
  <c r="I52" i="4"/>
  <c r="A52" i="4"/>
  <c r="I51" i="4"/>
  <c r="A51" i="4"/>
  <c r="I50" i="4"/>
  <c r="A50" i="4"/>
  <c r="I49" i="4"/>
  <c r="A49" i="4"/>
  <c r="I48" i="4"/>
  <c r="A48" i="4"/>
  <c r="I47" i="4"/>
  <c r="A47" i="4"/>
  <c r="I46" i="4"/>
  <c r="A46" i="4"/>
  <c r="I45" i="4"/>
  <c r="A45" i="4"/>
  <c r="I44" i="4"/>
  <c r="A44" i="4"/>
  <c r="I43" i="4"/>
  <c r="A43" i="4"/>
  <c r="I42" i="4"/>
  <c r="A42" i="4"/>
  <c r="I41" i="4"/>
  <c r="A41" i="4"/>
  <c r="I40" i="4"/>
  <c r="A40" i="4"/>
  <c r="I39" i="4"/>
  <c r="A39" i="4"/>
  <c r="I38" i="4"/>
  <c r="A38" i="4"/>
  <c r="I37" i="4"/>
  <c r="A37" i="4"/>
  <c r="I36" i="4"/>
  <c r="A36" i="4"/>
  <c r="I35" i="4"/>
  <c r="B35" i="4"/>
  <c r="A35" i="4"/>
  <c r="I34" i="4"/>
  <c r="A34" i="4"/>
  <c r="I33" i="4"/>
  <c r="A33" i="4"/>
  <c r="I32" i="4"/>
  <c r="A32" i="4"/>
  <c r="I31" i="4"/>
  <c r="A31" i="4"/>
  <c r="I30" i="4"/>
  <c r="A30" i="4"/>
  <c r="I29" i="4"/>
  <c r="A29" i="4"/>
  <c r="I28" i="4"/>
  <c r="A28" i="4"/>
  <c r="I27" i="4"/>
  <c r="A27" i="4"/>
  <c r="I26" i="4"/>
  <c r="A26" i="4"/>
  <c r="I25" i="4"/>
  <c r="A25" i="4"/>
  <c r="I24" i="4"/>
  <c r="A24" i="4"/>
  <c r="I23" i="4"/>
  <c r="A23" i="4"/>
  <c r="I22" i="4"/>
  <c r="A22" i="4"/>
  <c r="I21" i="4"/>
  <c r="A21" i="4"/>
  <c r="I20" i="4"/>
  <c r="A20" i="4"/>
  <c r="I19" i="4"/>
  <c r="A19" i="4"/>
  <c r="I18" i="4"/>
  <c r="A18" i="4"/>
  <c r="I17" i="4"/>
  <c r="A17" i="4"/>
  <c r="I16" i="4"/>
  <c r="A16" i="4"/>
  <c r="I15" i="4"/>
  <c r="A15" i="4"/>
  <c r="I14" i="4"/>
  <c r="A14" i="4"/>
  <c r="I13" i="4"/>
  <c r="A13" i="4"/>
  <c r="I12" i="4"/>
  <c r="A12" i="4"/>
  <c r="I11" i="4"/>
  <c r="A11" i="4"/>
  <c r="I10" i="4"/>
  <c r="A10" i="4"/>
  <c r="I9" i="4"/>
  <c r="A9" i="4"/>
  <c r="A54" i="3"/>
  <c r="L54" i="3" s="1"/>
  <c r="A53" i="3"/>
  <c r="L53" i="3" s="1"/>
  <c r="A52" i="3"/>
  <c r="L52" i="3" s="1"/>
  <c r="L51" i="3"/>
  <c r="A51" i="3"/>
  <c r="L50" i="3"/>
  <c r="A50" i="3"/>
  <c r="L49" i="3"/>
  <c r="A49" i="3"/>
  <c r="L48" i="3"/>
  <c r="A48" i="3"/>
  <c r="A47" i="3"/>
  <c r="L47" i="3" s="1"/>
  <c r="A46" i="3"/>
  <c r="L46" i="3" s="1"/>
  <c r="A45" i="3"/>
  <c r="L45" i="3" s="1"/>
  <c r="A44" i="3"/>
  <c r="L44" i="3" s="1"/>
  <c r="L43" i="3"/>
  <c r="A43" i="3"/>
  <c r="A42" i="3"/>
  <c r="L42" i="3" s="1"/>
  <c r="L41" i="3"/>
  <c r="A41" i="3"/>
  <c r="L40" i="3"/>
  <c r="A40" i="3"/>
  <c r="A39" i="3"/>
  <c r="L39" i="3" s="1"/>
  <c r="A38" i="3"/>
  <c r="L38" i="3" s="1"/>
  <c r="A37" i="3"/>
  <c r="L37" i="3" s="1"/>
  <c r="A36" i="3"/>
  <c r="L36" i="3" s="1"/>
  <c r="L35" i="3"/>
  <c r="A35" i="3"/>
  <c r="A34" i="3"/>
  <c r="L34" i="3" s="1"/>
  <c r="L33" i="3"/>
  <c r="A33" i="3"/>
  <c r="L32" i="3"/>
  <c r="A32" i="3"/>
  <c r="A31" i="3"/>
  <c r="L31" i="3" s="1"/>
  <c r="A30" i="3"/>
  <c r="L30" i="3" s="1"/>
  <c r="A29" i="3"/>
  <c r="L29" i="3" s="1"/>
  <c r="A28" i="3"/>
  <c r="L28" i="3" s="1"/>
  <c r="L27" i="3"/>
  <c r="A27" i="3"/>
  <c r="L26" i="3"/>
  <c r="A26" i="3"/>
  <c r="A25" i="3"/>
  <c r="L25" i="3" s="1"/>
  <c r="L24" i="3"/>
  <c r="A24" i="3"/>
  <c r="A23" i="3"/>
  <c r="L23" i="3" s="1"/>
  <c r="A22" i="3"/>
  <c r="L22" i="3" s="1"/>
  <c r="A21" i="3"/>
  <c r="L21" i="3" s="1"/>
  <c r="A20" i="3"/>
  <c r="L20" i="3" s="1"/>
  <c r="L19" i="3"/>
  <c r="A19" i="3"/>
  <c r="L18" i="3"/>
  <c r="A18" i="3"/>
  <c r="L17" i="3"/>
  <c r="A17" i="3"/>
  <c r="L16" i="3"/>
  <c r="A16" i="3"/>
  <c r="A15" i="3"/>
  <c r="L15" i="3" s="1"/>
  <c r="A14" i="3"/>
  <c r="L14" i="3" s="1"/>
  <c r="A13" i="3"/>
  <c r="L13" i="3" s="1"/>
  <c r="A12" i="3"/>
  <c r="L12" i="3" s="1"/>
  <c r="L11" i="3"/>
  <c r="A11" i="3"/>
  <c r="A10" i="3"/>
  <c r="L10" i="3" s="1"/>
  <c r="L9" i="3"/>
  <c r="A9" i="3"/>
  <c r="L8" i="3"/>
  <c r="A8" i="3"/>
  <c r="A7" i="3"/>
  <c r="L7" i="3" s="1"/>
  <c r="A6" i="3"/>
  <c r="L6" i="3" s="1"/>
  <c r="A5" i="3"/>
  <c r="L5" i="3" s="1"/>
  <c r="A54" i="2"/>
  <c r="K53" i="2"/>
  <c r="H53" i="2"/>
  <c r="A53" i="2"/>
  <c r="K52" i="2"/>
  <c r="J52" i="2"/>
  <c r="H52" i="2"/>
  <c r="A52" i="2"/>
  <c r="E51" i="2"/>
  <c r="C51" i="2"/>
  <c r="B51" i="2"/>
  <c r="A51" i="2"/>
  <c r="D50" i="2"/>
  <c r="C50" i="2"/>
  <c r="B50" i="2"/>
  <c r="A50" i="2"/>
  <c r="A49" i="2"/>
  <c r="A48" i="2"/>
  <c r="B47" i="2"/>
  <c r="A47" i="2"/>
  <c r="B46" i="2"/>
  <c r="A46" i="2"/>
  <c r="C45" i="2"/>
  <c r="B45" i="2"/>
  <c r="A45" i="2"/>
  <c r="E44" i="2"/>
  <c r="D44" i="2"/>
  <c r="B44" i="2"/>
  <c r="A44" i="2"/>
  <c r="H43" i="2"/>
  <c r="E43" i="2"/>
  <c r="D43" i="2"/>
  <c r="A43" i="2"/>
  <c r="K42" i="2"/>
  <c r="J42" i="2"/>
  <c r="H42" i="2"/>
  <c r="A42" i="2"/>
  <c r="K41" i="2"/>
  <c r="A41" i="2"/>
  <c r="L40" i="2"/>
  <c r="A40" i="2"/>
  <c r="A39" i="2"/>
  <c r="D38" i="2"/>
  <c r="C38" i="2"/>
  <c r="A38" i="2"/>
  <c r="H37" i="2"/>
  <c r="E37" i="2"/>
  <c r="A37" i="2"/>
  <c r="L36" i="2"/>
  <c r="J36" i="2"/>
  <c r="A36" i="2"/>
  <c r="B35" i="2"/>
  <c r="A35" i="2"/>
  <c r="F34" i="2"/>
  <c r="D34" i="2"/>
  <c r="C34" i="2"/>
  <c r="A34" i="2"/>
  <c r="L33" i="2"/>
  <c r="K33" i="2"/>
  <c r="I33" i="2"/>
  <c r="A33" i="2"/>
  <c r="A32" i="2"/>
  <c r="F31" i="2"/>
  <c r="E31" i="2"/>
  <c r="C31" i="2"/>
  <c r="B31" i="2"/>
  <c r="A31" i="2"/>
  <c r="K30" i="2"/>
  <c r="J30" i="2"/>
  <c r="H30" i="2"/>
  <c r="A30" i="2"/>
  <c r="A29" i="2"/>
  <c r="E28" i="2"/>
  <c r="D28" i="2"/>
  <c r="A28" i="2"/>
  <c r="J27" i="2"/>
  <c r="I27" i="2"/>
  <c r="F27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D58" i="4" s="1"/>
  <c r="C54" i="1"/>
  <c r="B54" i="1"/>
  <c r="B58" i="4" s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D57" i="4" s="1"/>
  <c r="C53" i="1"/>
  <c r="I53" i="2" s="1"/>
  <c r="B53" i="1"/>
  <c r="B57" i="4" s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D56" i="4" s="1"/>
  <c r="C52" i="1"/>
  <c r="B52" i="1"/>
  <c r="B56" i="4" s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D55" i="4" s="1"/>
  <c r="C51" i="1"/>
  <c r="L51" i="2" s="1"/>
  <c r="B51" i="1"/>
  <c r="B55" i="4" s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D54" i="4" s="1"/>
  <c r="C50" i="1"/>
  <c r="J50" i="2" s="1"/>
  <c r="B50" i="1"/>
  <c r="B54" i="4" s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D53" i="4" s="1"/>
  <c r="C49" i="1"/>
  <c r="C49" i="2" s="1"/>
  <c r="B49" i="1"/>
  <c r="B53" i="4" s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D52" i="4" s="1"/>
  <c r="C48" i="1"/>
  <c r="B48" i="1"/>
  <c r="B52" i="4" s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D51" i="4" s="1"/>
  <c r="C47" i="1"/>
  <c r="K47" i="2" s="1"/>
  <c r="B47" i="1"/>
  <c r="B51" i="4" s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D50" i="4" s="1"/>
  <c r="C46" i="1"/>
  <c r="H46" i="2" s="1"/>
  <c r="B46" i="1"/>
  <c r="B50" i="4" s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D49" i="4" s="1"/>
  <c r="C45" i="1"/>
  <c r="E45" i="2" s="1"/>
  <c r="B45" i="1"/>
  <c r="B49" i="4" s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D48" i="4" s="1"/>
  <c r="C44" i="1"/>
  <c r="B44" i="1"/>
  <c r="B48" i="4" s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D47" i="4" s="1"/>
  <c r="C43" i="1"/>
  <c r="C47" i="4" s="1"/>
  <c r="B43" i="1"/>
  <c r="B47" i="4" s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D46" i="4" s="1"/>
  <c r="C42" i="1"/>
  <c r="L42" i="2" s="1"/>
  <c r="B42" i="1"/>
  <c r="B46" i="4" s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D45" i="4" s="1"/>
  <c r="C41" i="1"/>
  <c r="L41" i="2" s="1"/>
  <c r="B41" i="1"/>
  <c r="B45" i="4" s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D44" i="4" s="1"/>
  <c r="C40" i="1"/>
  <c r="J40" i="2" s="1"/>
  <c r="B40" i="1"/>
  <c r="B44" i="4" s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D43" i="4" s="1"/>
  <c r="C39" i="1"/>
  <c r="K39" i="2" s="1"/>
  <c r="B39" i="1"/>
  <c r="B43" i="4" s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D42" i="4" s="1"/>
  <c r="C38" i="1"/>
  <c r="C42" i="4" s="1"/>
  <c r="B38" i="1"/>
  <c r="B42" i="4" s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D41" i="4" s="1"/>
  <c r="C37" i="1"/>
  <c r="I37" i="2" s="1"/>
  <c r="B37" i="1"/>
  <c r="B41" i="4" s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D40" i="4" s="1"/>
  <c r="C36" i="1"/>
  <c r="C40" i="4" s="1"/>
  <c r="B36" i="1"/>
  <c r="B40" i="4" s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D39" i="4" s="1"/>
  <c r="C35" i="1"/>
  <c r="C39" i="4" s="1"/>
  <c r="B35" i="1"/>
  <c r="B39" i="4" s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D38" i="4" s="1"/>
  <c r="C34" i="1"/>
  <c r="C38" i="4" s="1"/>
  <c r="B34" i="1"/>
  <c r="B38" i="4" s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D37" i="4" s="1"/>
  <c r="C33" i="1"/>
  <c r="C37" i="4" s="1"/>
  <c r="B33" i="1"/>
  <c r="B37" i="4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D36" i="4" s="1"/>
  <c r="C32" i="1"/>
  <c r="L32" i="2" s="1"/>
  <c r="B32" i="1"/>
  <c r="B36" i="4" s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D35" i="4" s="1"/>
  <c r="C31" i="1"/>
  <c r="C35" i="4" s="1"/>
  <c r="B31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D34" i="4" s="1"/>
  <c r="C30" i="1"/>
  <c r="C34" i="4" s="1"/>
  <c r="B30" i="1"/>
  <c r="B34" i="4" s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D33" i="4" s="1"/>
  <c r="C29" i="1"/>
  <c r="C33" i="4" s="1"/>
  <c r="B29" i="1"/>
  <c r="B33" i="4" s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D32" i="4" s="1"/>
  <c r="C28" i="1"/>
  <c r="C32" i="4" s="1"/>
  <c r="B28" i="1"/>
  <c r="B32" i="4" s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D31" i="4" s="1"/>
  <c r="C27" i="1"/>
  <c r="C31" i="4" s="1"/>
  <c r="B27" i="1"/>
  <c r="B31" i="4" s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D30" i="4" s="1"/>
  <c r="C26" i="1"/>
  <c r="C30" i="4" s="1"/>
  <c r="B26" i="1"/>
  <c r="B30" i="4" s="1"/>
  <c r="O25" i="1"/>
  <c r="N25" i="1"/>
  <c r="R25" i="1"/>
  <c r="M25" i="1"/>
  <c r="C25" i="1"/>
  <c r="B25" i="1"/>
  <c r="L25" i="1"/>
  <c r="K25" i="1"/>
  <c r="J25" i="1"/>
  <c r="I25" i="1"/>
  <c r="D25" i="1"/>
  <c r="Q25" i="1"/>
  <c r="H25" i="1"/>
  <c r="G25" i="1"/>
  <c r="F25" i="1"/>
  <c r="E25" i="1"/>
  <c r="T25" i="1"/>
  <c r="S25" i="1"/>
  <c r="P25" i="1"/>
  <c r="B11" i="8"/>
  <c r="B10" i="8"/>
  <c r="H22" i="1"/>
  <c r="L21" i="1"/>
  <c r="P20" i="1"/>
  <c r="T19" i="1"/>
  <c r="D19" i="1"/>
  <c r="H18" i="1"/>
  <c r="L17" i="1"/>
  <c r="P16" i="1"/>
  <c r="T15" i="1"/>
  <c r="G22" i="1"/>
  <c r="K21" i="1"/>
  <c r="O20" i="1"/>
  <c r="S19" i="1"/>
  <c r="C19" i="1"/>
  <c r="G18" i="1"/>
  <c r="K17" i="1"/>
  <c r="O16" i="1"/>
  <c r="S15" i="1"/>
  <c r="C15" i="1"/>
  <c r="G14" i="1"/>
  <c r="K13" i="1"/>
  <c r="O12" i="1"/>
  <c r="S11" i="1"/>
  <c r="C11" i="1"/>
  <c r="G10" i="1"/>
  <c r="F22" i="1"/>
  <c r="J21" i="1"/>
  <c r="N20" i="1"/>
  <c r="R19" i="1"/>
  <c r="E22" i="1"/>
  <c r="I21" i="1"/>
  <c r="M20" i="1"/>
  <c r="T22" i="1"/>
  <c r="R22" i="1"/>
  <c r="B22" i="1"/>
  <c r="F21" i="1"/>
  <c r="J20" i="1"/>
  <c r="N19" i="1"/>
  <c r="R18" i="1"/>
  <c r="B18" i="1"/>
  <c r="F17" i="1"/>
  <c r="J16" i="1"/>
  <c r="N15" i="1"/>
  <c r="R14" i="1"/>
  <c r="B14" i="1"/>
  <c r="F13" i="1"/>
  <c r="J12" i="1"/>
  <c r="N11" i="1"/>
  <c r="R10" i="1"/>
  <c r="B10" i="1"/>
  <c r="F9" i="1"/>
  <c r="J8" i="1"/>
  <c r="N7" i="1"/>
  <c r="R6" i="1"/>
  <c r="B6" i="1"/>
  <c r="Q22" i="1"/>
  <c r="E21" i="1"/>
  <c r="I20" i="1"/>
  <c r="I22" i="1"/>
  <c r="M21" i="1"/>
  <c r="Q20" i="1"/>
  <c r="O21" i="1"/>
  <c r="E20" i="1"/>
  <c r="E19" i="1"/>
  <c r="D18" i="1"/>
  <c r="E16" i="1"/>
  <c r="F15" i="1"/>
  <c r="I13" i="1"/>
  <c r="N10" i="1"/>
  <c r="P9" i="1"/>
  <c r="S8" i="1"/>
  <c r="K5" i="1"/>
  <c r="Q21" i="1"/>
  <c r="R9" i="1"/>
  <c r="S22" i="1"/>
  <c r="N21" i="1"/>
  <c r="D20" i="1"/>
  <c r="B19" i="1"/>
  <c r="C18" i="1"/>
  <c r="C17" i="1"/>
  <c r="D16" i="1"/>
  <c r="E15" i="1"/>
  <c r="F14" i="1"/>
  <c r="H13" i="1"/>
  <c r="I12" i="1"/>
  <c r="K11" i="1"/>
  <c r="M10" i="1"/>
  <c r="O9" i="1"/>
  <c r="R8" i="1"/>
  <c r="D7" i="1"/>
  <c r="G6" i="1"/>
  <c r="J5" i="1"/>
  <c r="F12" i="1"/>
  <c r="L9" i="1"/>
  <c r="D6" i="1"/>
  <c r="G5" i="1"/>
  <c r="M15" i="1"/>
  <c r="D10" i="1"/>
  <c r="R5" i="1"/>
  <c r="R20" i="1"/>
  <c r="P13" i="1"/>
  <c r="T11" i="1"/>
  <c r="C10" i="1"/>
  <c r="Q11" i="1"/>
  <c r="I7" i="1"/>
  <c r="P22" i="1"/>
  <c r="H21" i="1"/>
  <c r="C20" i="1"/>
  <c r="B17" i="1"/>
  <c r="C16" i="1"/>
  <c r="D15" i="1"/>
  <c r="E14" i="1"/>
  <c r="G13" i="1"/>
  <c r="H12" i="1"/>
  <c r="J11" i="1"/>
  <c r="L10" i="1"/>
  <c r="N9" i="1"/>
  <c r="Q8" i="1"/>
  <c r="T7" i="1"/>
  <c r="C7" i="1"/>
  <c r="F6" i="1"/>
  <c r="I5" i="1"/>
  <c r="G21" i="1"/>
  <c r="B20" i="1"/>
  <c r="T17" i="1"/>
  <c r="B16" i="1"/>
  <c r="E13" i="1"/>
  <c r="G12" i="1"/>
  <c r="K10" i="1"/>
  <c r="P8" i="1"/>
  <c r="B7" i="1"/>
  <c r="E6" i="1"/>
  <c r="H5" i="1"/>
  <c r="S17" i="1"/>
  <c r="D13" i="1"/>
  <c r="H11" i="1"/>
  <c r="O8" i="1"/>
  <c r="O14" i="1"/>
  <c r="G9" i="1"/>
  <c r="L18" i="1"/>
  <c r="O5" i="1"/>
  <c r="G16" i="1"/>
  <c r="O22" i="1"/>
  <c r="T18" i="1"/>
  <c r="B15" i="1"/>
  <c r="D14" i="1"/>
  <c r="I11" i="1"/>
  <c r="M9" i="1"/>
  <c r="S7" i="1"/>
  <c r="T16" i="1"/>
  <c r="C14" i="1"/>
  <c r="R7" i="1"/>
  <c r="D5" i="1"/>
  <c r="N17" i="1"/>
  <c r="Q13" i="1"/>
  <c r="B11" i="1"/>
  <c r="O6" i="1"/>
  <c r="B5" i="1"/>
  <c r="L16" i="1"/>
  <c r="E9" i="1"/>
  <c r="N6" i="1"/>
  <c r="P12" i="1"/>
  <c r="G20" i="1"/>
  <c r="M5" i="1"/>
  <c r="N22" i="1"/>
  <c r="D21" i="1"/>
  <c r="S18" i="1"/>
  <c r="J10" i="1"/>
  <c r="L19" i="1"/>
  <c r="K19" i="1"/>
  <c r="N14" i="1"/>
  <c r="C9" i="1"/>
  <c r="N5" i="1"/>
  <c r="F18" i="1"/>
  <c r="J6" i="1"/>
  <c r="M22" i="1"/>
  <c r="C21" i="1"/>
  <c r="Q19" i="1"/>
  <c r="Q18" i="1"/>
  <c r="R17" i="1"/>
  <c r="S16" i="1"/>
  <c r="R15" i="1"/>
  <c r="T14" i="1"/>
  <c r="C13" i="1"/>
  <c r="E12" i="1"/>
  <c r="G11" i="1"/>
  <c r="I10" i="1"/>
  <c r="K9" i="1"/>
  <c r="N8" i="1"/>
  <c r="Q7" i="1"/>
  <c r="T6" i="1"/>
  <c r="C6" i="1"/>
  <c r="F5" i="1"/>
  <c r="R16" i="1"/>
  <c r="Q15" i="1"/>
  <c r="T13" i="1"/>
  <c r="D12" i="1"/>
  <c r="F11" i="1"/>
  <c r="H10" i="1"/>
  <c r="J9" i="1"/>
  <c r="M8" i="1"/>
  <c r="P7" i="1"/>
  <c r="S6" i="1"/>
  <c r="E5" i="1"/>
  <c r="P17" i="1"/>
  <c r="Q16" i="1"/>
  <c r="P15" i="1"/>
  <c r="Q14" i="1"/>
  <c r="S13" i="1"/>
  <c r="C12" i="1"/>
  <c r="E11" i="1"/>
  <c r="F10" i="1"/>
  <c r="I9" i="1"/>
  <c r="L8" i="1"/>
  <c r="O7" i="1"/>
  <c r="Q6" i="1"/>
  <c r="T5" i="1"/>
  <c r="M16" i="1"/>
  <c r="I8" i="1"/>
  <c r="C22" i="1"/>
  <c r="H8" i="1"/>
  <c r="Q5" i="1"/>
  <c r="S10" i="1"/>
  <c r="F8" i="1"/>
  <c r="G19" i="1"/>
  <c r="M12" i="1"/>
  <c r="P10" i="1"/>
  <c r="L22" i="1"/>
  <c r="B21" i="1"/>
  <c r="P19" i="1"/>
  <c r="P18" i="1"/>
  <c r="Q17" i="1"/>
  <c r="S14" i="1"/>
  <c r="B13" i="1"/>
  <c r="K22" i="1"/>
  <c r="O19" i="1"/>
  <c r="O18" i="1"/>
  <c r="J14" i="1"/>
  <c r="D8" i="1"/>
  <c r="J22" i="1"/>
  <c r="T20" i="1"/>
  <c r="M19" i="1"/>
  <c r="N18" i="1"/>
  <c r="O17" i="1"/>
  <c r="N16" i="1"/>
  <c r="O15" i="1"/>
  <c r="P14" i="1"/>
  <c r="R13" i="1"/>
  <c r="T12" i="1"/>
  <c r="B12" i="1"/>
  <c r="D11" i="1"/>
  <c r="E10" i="1"/>
  <c r="H9" i="1"/>
  <c r="K8" i="1"/>
  <c r="M7" i="1"/>
  <c r="P6" i="1"/>
  <c r="S5" i="1"/>
  <c r="C5" i="1"/>
  <c r="D22" i="1"/>
  <c r="S20" i="1"/>
  <c r="M18" i="1"/>
  <c r="S12" i="1"/>
  <c r="L7" i="1"/>
  <c r="M17" i="1"/>
  <c r="L15" i="1"/>
  <c r="T21" i="1"/>
  <c r="L20" i="1"/>
  <c r="J19" i="1"/>
  <c r="K18" i="1"/>
  <c r="J17" i="1"/>
  <c r="K16" i="1"/>
  <c r="K15" i="1"/>
  <c r="M14" i="1"/>
  <c r="O13" i="1"/>
  <c r="Q12" i="1"/>
  <c r="R11" i="1"/>
  <c r="T10" i="1"/>
  <c r="D9" i="1"/>
  <c r="G8" i="1"/>
  <c r="J7" i="1"/>
  <c r="M6" i="1"/>
  <c r="P5" i="1"/>
  <c r="S21" i="1"/>
  <c r="K20" i="1"/>
  <c r="I19" i="1"/>
  <c r="J18" i="1"/>
  <c r="I17" i="1"/>
  <c r="I16" i="1"/>
  <c r="J15" i="1"/>
  <c r="L14" i="1"/>
  <c r="N13" i="1"/>
  <c r="T9" i="1"/>
  <c r="L6" i="1"/>
  <c r="L13" i="1"/>
  <c r="O11" i="1"/>
  <c r="R21" i="1"/>
  <c r="H20" i="1"/>
  <c r="H19" i="1"/>
  <c r="I18" i="1"/>
  <c r="H17" i="1"/>
  <c r="H16" i="1"/>
  <c r="I15" i="1"/>
  <c r="K14" i="1"/>
  <c r="M13" i="1"/>
  <c r="N12" i="1"/>
  <c r="P11" i="1"/>
  <c r="Q10" i="1"/>
  <c r="S9" i="1"/>
  <c r="B9" i="1"/>
  <c r="E8" i="1"/>
  <c r="H7" i="1"/>
  <c r="K6" i="1"/>
  <c r="H15" i="1"/>
  <c r="G7" i="1"/>
  <c r="P21" i="1"/>
  <c r="F20" i="1"/>
  <c r="F19" i="1"/>
  <c r="E18" i="1"/>
  <c r="E17" i="1"/>
  <c r="F16" i="1"/>
  <c r="G15" i="1"/>
  <c r="I14" i="1"/>
  <c r="J13" i="1"/>
  <c r="L12" i="1"/>
  <c r="M11" i="1"/>
  <c r="O10" i="1"/>
  <c r="Q9" i="1"/>
  <c r="T8" i="1"/>
  <c r="C8" i="1"/>
  <c r="F7" i="1"/>
  <c r="I6" i="1"/>
  <c r="L5" i="1"/>
  <c r="D17" i="1"/>
  <c r="H14" i="1"/>
  <c r="K12" i="1"/>
  <c r="L11" i="1"/>
  <c r="B8" i="1"/>
  <c r="E7" i="1"/>
  <c r="H6" i="1"/>
  <c r="R12" i="1"/>
  <c r="K7" i="1"/>
  <c r="G17" i="1"/>
  <c r="U25" i="1" l="1"/>
  <c r="D29" i="4"/>
  <c r="B29" i="4"/>
  <c r="C29" i="4"/>
  <c r="C25" i="2"/>
  <c r="D25" i="2"/>
  <c r="U17" i="1"/>
  <c r="B12" i="4"/>
  <c r="D21" i="4"/>
  <c r="D8" i="2"/>
  <c r="C8" i="2"/>
  <c r="B8" i="2"/>
  <c r="C12" i="4"/>
  <c r="L8" i="2"/>
  <c r="K8" i="2"/>
  <c r="J8" i="2"/>
  <c r="F8" i="2"/>
  <c r="E8" i="2"/>
  <c r="I8" i="2"/>
  <c r="H8" i="2"/>
  <c r="U15" i="1"/>
  <c r="U23" i="1"/>
  <c r="U7" i="1"/>
  <c r="B13" i="4"/>
  <c r="U8" i="1"/>
  <c r="D13" i="4"/>
  <c r="D26" i="4"/>
  <c r="B28" i="4"/>
  <c r="C9" i="4"/>
  <c r="C5" i="2"/>
  <c r="B5" i="2"/>
  <c r="L5" i="2"/>
  <c r="K5" i="2"/>
  <c r="J5" i="2"/>
  <c r="I5" i="2"/>
  <c r="F5" i="2"/>
  <c r="E5" i="2"/>
  <c r="D5" i="2"/>
  <c r="H5" i="2"/>
  <c r="D15" i="4"/>
  <c r="B16" i="4"/>
  <c r="D24" i="2"/>
  <c r="C24" i="2"/>
  <c r="B24" i="2"/>
  <c r="L24" i="2"/>
  <c r="K24" i="2"/>
  <c r="C28" i="4"/>
  <c r="J24" i="2"/>
  <c r="F24" i="2"/>
  <c r="E24" i="2"/>
  <c r="I24" i="2"/>
  <c r="H24" i="2"/>
  <c r="D12" i="4"/>
  <c r="D28" i="4"/>
  <c r="B17" i="4"/>
  <c r="B25" i="4"/>
  <c r="U19" i="1"/>
  <c r="C26" i="4"/>
  <c r="L22" i="2"/>
  <c r="M22" i="2" s="1"/>
  <c r="K22" i="2"/>
  <c r="J22" i="2"/>
  <c r="I22" i="2"/>
  <c r="H22" i="2"/>
  <c r="F22" i="2"/>
  <c r="G22" i="2" s="1"/>
  <c r="E22" i="2"/>
  <c r="D22" i="2"/>
  <c r="C22" i="2"/>
  <c r="B22" i="2"/>
  <c r="L12" i="2"/>
  <c r="K12" i="2"/>
  <c r="J12" i="2"/>
  <c r="I12" i="2"/>
  <c r="M12" i="2" s="1"/>
  <c r="H12" i="2"/>
  <c r="C16" i="4"/>
  <c r="F12" i="2"/>
  <c r="G12" i="2" s="1"/>
  <c r="C12" i="2"/>
  <c r="B12" i="2"/>
  <c r="E12" i="2"/>
  <c r="D12" i="2"/>
  <c r="D16" i="4"/>
  <c r="C10" i="4"/>
  <c r="L6" i="2"/>
  <c r="K6" i="2"/>
  <c r="J6" i="2"/>
  <c r="I6" i="2"/>
  <c r="H6" i="2"/>
  <c r="F6" i="2"/>
  <c r="E6" i="2"/>
  <c r="D6" i="2"/>
  <c r="C6" i="2"/>
  <c r="B6" i="2"/>
  <c r="G6" i="2" s="1"/>
  <c r="U11" i="1"/>
  <c r="C17" i="4"/>
  <c r="K13" i="2"/>
  <c r="J13" i="2"/>
  <c r="I13" i="2"/>
  <c r="H13" i="2"/>
  <c r="F13" i="2"/>
  <c r="E13" i="2"/>
  <c r="D13" i="2"/>
  <c r="C13" i="2"/>
  <c r="B13" i="2"/>
  <c r="L13" i="2"/>
  <c r="C25" i="4"/>
  <c r="C21" i="2"/>
  <c r="B21" i="2"/>
  <c r="L21" i="2"/>
  <c r="M21" i="2" s="1"/>
  <c r="K21" i="2"/>
  <c r="J21" i="2"/>
  <c r="I21" i="2"/>
  <c r="F21" i="2"/>
  <c r="E21" i="2"/>
  <c r="D21" i="2"/>
  <c r="H21" i="2"/>
  <c r="L9" i="2"/>
  <c r="K9" i="2"/>
  <c r="J9" i="2"/>
  <c r="I9" i="2"/>
  <c r="H9" i="2"/>
  <c r="F9" i="2"/>
  <c r="E9" i="2"/>
  <c r="B9" i="2"/>
  <c r="C13" i="4"/>
  <c r="D9" i="2"/>
  <c r="C9" i="2"/>
  <c r="D25" i="4"/>
  <c r="U20" i="1"/>
  <c r="B9" i="4"/>
  <c r="B15" i="4"/>
  <c r="D9" i="4"/>
  <c r="F14" i="2"/>
  <c r="E14" i="2"/>
  <c r="D14" i="2"/>
  <c r="C14" i="2"/>
  <c r="B14" i="2"/>
  <c r="G14" i="2" s="1"/>
  <c r="L14" i="2"/>
  <c r="C18" i="4"/>
  <c r="I14" i="2"/>
  <c r="H14" i="2"/>
  <c r="M14" i="2" s="1"/>
  <c r="F18" i="4" s="1"/>
  <c r="K14" i="2"/>
  <c r="J14" i="2"/>
  <c r="D18" i="4"/>
  <c r="B19" i="4"/>
  <c r="U16" i="1"/>
  <c r="U9" i="1"/>
  <c r="D17" i="4"/>
  <c r="B11" i="4"/>
  <c r="U12" i="1"/>
  <c r="B20" i="4"/>
  <c r="B24" i="4"/>
  <c r="U21" i="1"/>
  <c r="I7" i="2"/>
  <c r="H7" i="2"/>
  <c r="F7" i="2"/>
  <c r="E7" i="2"/>
  <c r="G7" i="2" s="1"/>
  <c r="D7" i="2"/>
  <c r="C7" i="2"/>
  <c r="B7" i="2"/>
  <c r="C11" i="4"/>
  <c r="L7" i="2"/>
  <c r="K7" i="2"/>
  <c r="J7" i="2"/>
  <c r="U13" i="1"/>
  <c r="D19" i="4"/>
  <c r="L16" i="2"/>
  <c r="K16" i="2"/>
  <c r="C20" i="4"/>
  <c r="J16" i="2"/>
  <c r="M16" i="2" s="1"/>
  <c r="I16" i="2"/>
  <c r="H16" i="2"/>
  <c r="F16" i="2"/>
  <c r="G16" i="2" s="1"/>
  <c r="E16" i="2"/>
  <c r="D16" i="2"/>
  <c r="C16" i="2"/>
  <c r="B16" i="2"/>
  <c r="B21" i="4"/>
  <c r="H20" i="2"/>
  <c r="F20" i="2"/>
  <c r="E20" i="2"/>
  <c r="D20" i="2"/>
  <c r="C20" i="2"/>
  <c r="B20" i="2"/>
  <c r="K20" i="2"/>
  <c r="C24" i="4"/>
  <c r="J20" i="2"/>
  <c r="I20" i="2"/>
  <c r="L20" i="2"/>
  <c r="C14" i="4"/>
  <c r="J10" i="2"/>
  <c r="I10" i="2"/>
  <c r="H10" i="2"/>
  <c r="F10" i="2"/>
  <c r="G10" i="2" s="1"/>
  <c r="E10" i="2"/>
  <c r="D10" i="2"/>
  <c r="C10" i="2"/>
  <c r="B10" i="2"/>
  <c r="L10" i="2"/>
  <c r="K10" i="2"/>
  <c r="D14" i="4"/>
  <c r="U5" i="1"/>
  <c r="D10" i="4"/>
  <c r="U6" i="1"/>
  <c r="D11" i="4"/>
  <c r="D20" i="4"/>
  <c r="C21" i="4"/>
  <c r="F17" i="2"/>
  <c r="E17" i="2"/>
  <c r="D17" i="2"/>
  <c r="G17" i="2" s="1"/>
  <c r="C17" i="2"/>
  <c r="B17" i="2"/>
  <c r="J17" i="2"/>
  <c r="I17" i="2"/>
  <c r="H17" i="2"/>
  <c r="L17" i="2"/>
  <c r="K17" i="2"/>
  <c r="C22" i="4"/>
  <c r="B18" i="2"/>
  <c r="L18" i="2"/>
  <c r="K18" i="2"/>
  <c r="M18" i="2" s="1"/>
  <c r="J18" i="2"/>
  <c r="I18" i="2"/>
  <c r="H18" i="2"/>
  <c r="E18" i="2"/>
  <c r="D18" i="2"/>
  <c r="C18" i="2"/>
  <c r="F18" i="2"/>
  <c r="B23" i="4"/>
  <c r="D24" i="4"/>
  <c r="D22" i="4"/>
  <c r="U24" i="1"/>
  <c r="B10" i="4"/>
  <c r="B14" i="4"/>
  <c r="B18" i="4"/>
  <c r="B22" i="4"/>
  <c r="B26" i="4"/>
  <c r="B27" i="4"/>
  <c r="U10" i="1"/>
  <c r="C15" i="4"/>
  <c r="E11" i="2"/>
  <c r="D11" i="2"/>
  <c r="C11" i="2"/>
  <c r="B11" i="2"/>
  <c r="L11" i="2"/>
  <c r="K11" i="2"/>
  <c r="H11" i="2"/>
  <c r="F11" i="2"/>
  <c r="I11" i="2"/>
  <c r="J11" i="2"/>
  <c r="U14" i="1"/>
  <c r="C19" i="4"/>
  <c r="L15" i="2"/>
  <c r="M15" i="2" s="1"/>
  <c r="K15" i="2"/>
  <c r="J15" i="2"/>
  <c r="I15" i="2"/>
  <c r="H15" i="2"/>
  <c r="D15" i="2"/>
  <c r="C15" i="2"/>
  <c r="B15" i="2"/>
  <c r="F15" i="2"/>
  <c r="E15" i="2"/>
  <c r="U18" i="1"/>
  <c r="C23" i="4"/>
  <c r="L19" i="2"/>
  <c r="K19" i="2"/>
  <c r="J19" i="2"/>
  <c r="I19" i="2"/>
  <c r="H19" i="2"/>
  <c r="M19" i="2" s="1"/>
  <c r="F19" i="2"/>
  <c r="E19" i="2"/>
  <c r="D19" i="2"/>
  <c r="C19" i="2"/>
  <c r="B19" i="2"/>
  <c r="G19" i="2" s="1"/>
  <c r="U22" i="1"/>
  <c r="C27" i="4"/>
  <c r="I23" i="2"/>
  <c r="H23" i="2"/>
  <c r="F23" i="2"/>
  <c r="E23" i="2"/>
  <c r="G23" i="2" s="1"/>
  <c r="D23" i="2"/>
  <c r="C23" i="2"/>
  <c r="B23" i="2"/>
  <c r="L23" i="2"/>
  <c r="K23" i="2"/>
  <c r="J23" i="2"/>
  <c r="D23" i="4"/>
  <c r="D27" i="4"/>
  <c r="M53" i="2"/>
  <c r="G13" i="2"/>
  <c r="M46" i="2"/>
  <c r="E40" i="4"/>
  <c r="G20" i="2"/>
  <c r="E24" i="4" s="1"/>
  <c r="M42" i="2"/>
  <c r="F46" i="4" s="1"/>
  <c r="K26" i="2"/>
  <c r="L29" i="2"/>
  <c r="H33" i="2"/>
  <c r="M33" i="2" s="1"/>
  <c r="I36" i="2"/>
  <c r="D37" i="2"/>
  <c r="K40" i="2"/>
  <c r="I41" i="2"/>
  <c r="N12" i="5"/>
  <c r="O12" i="5" s="1"/>
  <c r="O33" i="6"/>
  <c r="P33" i="6" s="1"/>
  <c r="L26" i="2"/>
  <c r="B28" i="2"/>
  <c r="K44" i="2"/>
  <c r="C48" i="4"/>
  <c r="I44" i="2"/>
  <c r="J48" i="2"/>
  <c r="I48" i="2"/>
  <c r="E48" i="2"/>
  <c r="F52" i="2"/>
  <c r="E52" i="2"/>
  <c r="D52" i="2"/>
  <c r="C52" i="2"/>
  <c r="C56" i="4"/>
  <c r="B25" i="2"/>
  <c r="G25" i="2" s="1"/>
  <c r="E29" i="4" s="1"/>
  <c r="H27" i="2"/>
  <c r="C28" i="2"/>
  <c r="I30" i="2"/>
  <c r="M30" i="2" s="1"/>
  <c r="D31" i="2"/>
  <c r="J33" i="2"/>
  <c r="E34" i="2"/>
  <c r="K36" i="2"/>
  <c r="F37" i="2"/>
  <c r="B38" i="2"/>
  <c r="I42" i="2"/>
  <c r="F43" i="2"/>
  <c r="C44" i="2"/>
  <c r="I52" i="2"/>
  <c r="M52" i="2" s="1"/>
  <c r="O21" i="6"/>
  <c r="P21" i="6" s="1"/>
  <c r="E25" i="2"/>
  <c r="K27" i="2"/>
  <c r="F28" i="2"/>
  <c r="L30" i="2"/>
  <c r="B32" i="2"/>
  <c r="H34" i="2"/>
  <c r="C35" i="2"/>
  <c r="E38" i="2"/>
  <c r="I43" i="2"/>
  <c r="F44" i="2"/>
  <c r="C46" i="2"/>
  <c r="C47" i="2"/>
  <c r="B48" i="2"/>
  <c r="E50" i="2"/>
  <c r="L52" i="2"/>
  <c r="L37" i="2"/>
  <c r="C41" i="4"/>
  <c r="J41" i="2"/>
  <c r="H41" i="2"/>
  <c r="M41" i="2" s="1"/>
  <c r="C45" i="4"/>
  <c r="I45" i="2"/>
  <c r="F45" i="2"/>
  <c r="D45" i="2"/>
  <c r="C49" i="4"/>
  <c r="E49" i="2"/>
  <c r="D49" i="2"/>
  <c r="B49" i="2"/>
  <c r="C53" i="4"/>
  <c r="L53" i="2"/>
  <c r="C57" i="4"/>
  <c r="J53" i="2"/>
  <c r="F25" i="2"/>
  <c r="L27" i="2"/>
  <c r="B29" i="2"/>
  <c r="H31" i="2"/>
  <c r="C32" i="2"/>
  <c r="I34" i="2"/>
  <c r="D35" i="2"/>
  <c r="J37" i="2"/>
  <c r="F38" i="2"/>
  <c r="C39" i="2"/>
  <c r="J43" i="2"/>
  <c r="E46" i="2"/>
  <c r="D47" i="2"/>
  <c r="C48" i="2"/>
  <c r="F49" i="2"/>
  <c r="F50" i="2"/>
  <c r="G9" i="2"/>
  <c r="E13" i="4" s="1"/>
  <c r="P20" i="2"/>
  <c r="J24" i="4" s="1"/>
  <c r="B26" i="2"/>
  <c r="H28" i="2"/>
  <c r="M28" i="2" s="1"/>
  <c r="C29" i="2"/>
  <c r="I31" i="2"/>
  <c r="D32" i="2"/>
  <c r="J34" i="2"/>
  <c r="E35" i="2"/>
  <c r="K37" i="2"/>
  <c r="M37" i="2" s="1"/>
  <c r="H38" i="2"/>
  <c r="E39" i="2"/>
  <c r="B40" i="2"/>
  <c r="K43" i="2"/>
  <c r="H44" i="2"/>
  <c r="M44" i="2" s="1"/>
  <c r="H45" i="2"/>
  <c r="F46" i="2"/>
  <c r="E47" i="2"/>
  <c r="D48" i="2"/>
  <c r="H25" i="2"/>
  <c r="C26" i="2"/>
  <c r="I28" i="2"/>
  <c r="D29" i="2"/>
  <c r="J31" i="2"/>
  <c r="E32" i="2"/>
  <c r="K34" i="2"/>
  <c r="M34" i="2" s="1"/>
  <c r="F35" i="2"/>
  <c r="I38" i="2"/>
  <c r="F39" i="2"/>
  <c r="C40" i="2"/>
  <c r="L43" i="2"/>
  <c r="J44" i="2"/>
  <c r="J45" i="2"/>
  <c r="F47" i="2"/>
  <c r="F48" i="2"/>
  <c r="H49" i="2"/>
  <c r="M49" i="2" s="1"/>
  <c r="H50" i="2"/>
  <c r="M50" i="2" s="1"/>
  <c r="C36" i="4"/>
  <c r="M5" i="2"/>
  <c r="R5" i="2" s="1"/>
  <c r="L9" i="4" s="1"/>
  <c r="P14" i="2"/>
  <c r="J18" i="4" s="1"/>
  <c r="I25" i="2"/>
  <c r="D26" i="2"/>
  <c r="J28" i="2"/>
  <c r="E29" i="2"/>
  <c r="K31" i="2"/>
  <c r="F32" i="2"/>
  <c r="L34" i="2"/>
  <c r="B36" i="2"/>
  <c r="J38" i="2"/>
  <c r="D40" i="2"/>
  <c r="M43" i="2"/>
  <c r="L44" i="2"/>
  <c r="K45" i="2"/>
  <c r="H48" i="2"/>
  <c r="M48" i="2" s="1"/>
  <c r="I49" i="2"/>
  <c r="P51" i="2"/>
  <c r="J55" i="4" s="1"/>
  <c r="C46" i="4"/>
  <c r="E42" i="2"/>
  <c r="C42" i="2"/>
  <c r="D46" i="2"/>
  <c r="C50" i="4"/>
  <c r="C54" i="4"/>
  <c r="K50" i="2"/>
  <c r="I50" i="2"/>
  <c r="L54" i="2"/>
  <c r="K54" i="2"/>
  <c r="J54" i="2"/>
  <c r="I54" i="2"/>
  <c r="F54" i="2"/>
  <c r="E54" i="2"/>
  <c r="C58" i="4"/>
  <c r="S20" i="2"/>
  <c r="J25" i="2"/>
  <c r="E26" i="2"/>
  <c r="K28" i="2"/>
  <c r="F29" i="2"/>
  <c r="L31" i="2"/>
  <c r="B33" i="2"/>
  <c r="H35" i="2"/>
  <c r="M35" i="2" s="1"/>
  <c r="C36" i="2"/>
  <c r="K38" i="2"/>
  <c r="H39" i="2"/>
  <c r="E40" i="2"/>
  <c r="B41" i="2"/>
  <c r="L45" i="2"/>
  <c r="M45" i="2" s="1"/>
  <c r="I46" i="2"/>
  <c r="H47" i="2"/>
  <c r="M47" i="2" s="1"/>
  <c r="K48" i="2"/>
  <c r="J49" i="2"/>
  <c r="L50" i="2"/>
  <c r="B54" i="2"/>
  <c r="K25" i="2"/>
  <c r="F26" i="2"/>
  <c r="L28" i="2"/>
  <c r="B30" i="2"/>
  <c r="H32" i="2"/>
  <c r="M32" i="2" s="1"/>
  <c r="C33" i="2"/>
  <c r="I35" i="2"/>
  <c r="D36" i="2"/>
  <c r="L38" i="2"/>
  <c r="I39" i="2"/>
  <c r="F40" i="2"/>
  <c r="C41" i="2"/>
  <c r="J46" i="2"/>
  <c r="I47" i="2"/>
  <c r="L48" i="2"/>
  <c r="K49" i="2"/>
  <c r="B53" i="2"/>
  <c r="C54" i="2"/>
  <c r="C44" i="4"/>
  <c r="L25" i="2"/>
  <c r="B27" i="2"/>
  <c r="H29" i="2"/>
  <c r="M29" i="2" s="1"/>
  <c r="C30" i="2"/>
  <c r="I32" i="2"/>
  <c r="D33" i="2"/>
  <c r="J35" i="2"/>
  <c r="E36" i="2"/>
  <c r="M38" i="2"/>
  <c r="F42" i="4" s="1"/>
  <c r="J39" i="2"/>
  <c r="D41" i="2"/>
  <c r="K46" i="2"/>
  <c r="L49" i="2"/>
  <c r="C53" i="2"/>
  <c r="D54" i="2"/>
  <c r="A5" i="4"/>
  <c r="M9" i="2"/>
  <c r="F13" i="4" s="1"/>
  <c r="H26" i="2"/>
  <c r="C27" i="2"/>
  <c r="I29" i="2"/>
  <c r="D30" i="2"/>
  <c r="J32" i="2"/>
  <c r="E33" i="2"/>
  <c r="K35" i="2"/>
  <c r="F36" i="2"/>
  <c r="H40" i="2"/>
  <c r="M40" i="2" s="1"/>
  <c r="E41" i="2"/>
  <c r="B42" i="2"/>
  <c r="E46" i="4" s="1"/>
  <c r="L46" i="2"/>
  <c r="D53" i="2"/>
  <c r="H54" i="2"/>
  <c r="D39" i="2"/>
  <c r="B39" i="2"/>
  <c r="C43" i="4"/>
  <c r="L47" i="2"/>
  <c r="J47" i="2"/>
  <c r="C51" i="4"/>
  <c r="K51" i="2"/>
  <c r="J51" i="2"/>
  <c r="C55" i="4"/>
  <c r="I51" i="2"/>
  <c r="H51" i="2"/>
  <c r="M51" i="2" s="1"/>
  <c r="F51" i="2"/>
  <c r="D51" i="2"/>
  <c r="E55" i="4" s="1"/>
  <c r="M6" i="2"/>
  <c r="I26" i="2"/>
  <c r="D27" i="2"/>
  <c r="J29" i="2"/>
  <c r="E30" i="2"/>
  <c r="K32" i="2"/>
  <c r="F33" i="2"/>
  <c r="L35" i="2"/>
  <c r="B37" i="2"/>
  <c r="L39" i="2"/>
  <c r="I40" i="2"/>
  <c r="F41" i="2"/>
  <c r="D42" i="2"/>
  <c r="B43" i="2"/>
  <c r="E53" i="2"/>
  <c r="C52" i="4"/>
  <c r="J26" i="2"/>
  <c r="E27" i="2"/>
  <c r="K29" i="2"/>
  <c r="F30" i="2"/>
  <c r="B34" i="2"/>
  <c r="H36" i="2"/>
  <c r="C37" i="2"/>
  <c r="M39" i="2"/>
  <c r="F43" i="4" s="1"/>
  <c r="F42" i="2"/>
  <c r="C43" i="2"/>
  <c r="B52" i="2"/>
  <c r="F53" i="2"/>
  <c r="M25" i="2" l="1"/>
  <c r="E58" i="4"/>
  <c r="P54" i="2"/>
  <c r="E51" i="4"/>
  <c r="N47" i="2"/>
  <c r="P47" i="2"/>
  <c r="E53" i="4"/>
  <c r="N49" i="2"/>
  <c r="P49" i="2"/>
  <c r="E50" i="4"/>
  <c r="N46" i="2"/>
  <c r="P46" i="2"/>
  <c r="E42" i="4"/>
  <c r="P38" i="2"/>
  <c r="N38" i="2"/>
  <c r="F29" i="4"/>
  <c r="N25" i="2"/>
  <c r="R25" i="2"/>
  <c r="F38" i="4"/>
  <c r="R34" i="2"/>
  <c r="F41" i="4"/>
  <c r="R37" i="2"/>
  <c r="E48" i="4"/>
  <c r="P44" i="2"/>
  <c r="N44" i="2"/>
  <c r="F55" i="4"/>
  <c r="R51" i="2"/>
  <c r="F44" i="4"/>
  <c r="R40" i="2"/>
  <c r="F51" i="4"/>
  <c r="R47" i="2"/>
  <c r="E36" i="4"/>
  <c r="N32" i="2"/>
  <c r="P32" i="2"/>
  <c r="F34" i="4"/>
  <c r="R30" i="2"/>
  <c r="F54" i="4"/>
  <c r="R50" i="2"/>
  <c r="F53" i="4"/>
  <c r="R49" i="2"/>
  <c r="F32" i="4"/>
  <c r="R28" i="2"/>
  <c r="E32" i="4"/>
  <c r="P28" i="2"/>
  <c r="N28" i="2"/>
  <c r="E30" i="4"/>
  <c r="N26" i="2"/>
  <c r="P26" i="2"/>
  <c r="F52" i="4"/>
  <c r="R48" i="2"/>
  <c r="E49" i="4"/>
  <c r="N45" i="2"/>
  <c r="P45" i="2"/>
  <c r="E14" i="4"/>
  <c r="N10" i="2"/>
  <c r="P10" i="2"/>
  <c r="E33" i="4"/>
  <c r="N29" i="2"/>
  <c r="P29" i="2"/>
  <c r="E35" i="4"/>
  <c r="P31" i="2"/>
  <c r="E26" i="4"/>
  <c r="P22" i="2"/>
  <c r="N22" i="2"/>
  <c r="N34" i="2"/>
  <c r="F36" i="4"/>
  <c r="R32" i="2"/>
  <c r="F23" i="4"/>
  <c r="R19" i="2"/>
  <c r="F19" i="4"/>
  <c r="R15" i="2"/>
  <c r="L19" i="4" s="1"/>
  <c r="F22" i="4"/>
  <c r="R18" i="2"/>
  <c r="L22" i="4" s="1"/>
  <c r="E20" i="4"/>
  <c r="P16" i="2"/>
  <c r="S16" i="2" s="1"/>
  <c r="N16" i="2"/>
  <c r="P7" i="2"/>
  <c r="E11" i="4"/>
  <c r="F25" i="4"/>
  <c r="R21" i="2"/>
  <c r="L25" i="4" s="1"/>
  <c r="E10" i="4"/>
  <c r="P6" i="2"/>
  <c r="N6" i="2"/>
  <c r="E16" i="4"/>
  <c r="P12" i="2"/>
  <c r="N12" i="2"/>
  <c r="F26" i="4"/>
  <c r="R22" i="2"/>
  <c r="E43" i="4"/>
  <c r="P39" i="2"/>
  <c r="N39" i="2"/>
  <c r="F39" i="4"/>
  <c r="R35" i="2"/>
  <c r="P41" i="2"/>
  <c r="E45" i="4"/>
  <c r="N41" i="2"/>
  <c r="E37" i="4"/>
  <c r="P33" i="2"/>
  <c r="N33" i="2"/>
  <c r="F48" i="4"/>
  <c r="R44" i="2"/>
  <c r="F56" i="4"/>
  <c r="R52" i="2"/>
  <c r="E39" i="4"/>
  <c r="N35" i="2"/>
  <c r="P35" i="2"/>
  <c r="E23" i="4"/>
  <c r="P19" i="2"/>
  <c r="N19" i="2"/>
  <c r="E44" i="4"/>
  <c r="N40" i="2"/>
  <c r="P40" i="2"/>
  <c r="E54" i="4"/>
  <c r="P50" i="2"/>
  <c r="N50" i="2"/>
  <c r="F20" i="4"/>
  <c r="R16" i="2"/>
  <c r="L20" i="4" s="1"/>
  <c r="F16" i="4"/>
  <c r="R12" i="2"/>
  <c r="L16" i="4" s="1"/>
  <c r="F49" i="4"/>
  <c r="R45" i="2"/>
  <c r="P17" i="2"/>
  <c r="N17" i="2"/>
  <c r="E21" i="4"/>
  <c r="E52" i="4"/>
  <c r="N48" i="2"/>
  <c r="P48" i="2"/>
  <c r="F47" i="4"/>
  <c r="R43" i="2"/>
  <c r="Q51" i="2"/>
  <c r="K55" i="4" s="1"/>
  <c r="Q14" i="2"/>
  <c r="K18" i="4" s="1"/>
  <c r="F33" i="4"/>
  <c r="R29" i="2"/>
  <c r="N42" i="2"/>
  <c r="R41" i="2"/>
  <c r="F45" i="4"/>
  <c r="M11" i="2"/>
  <c r="M17" i="2"/>
  <c r="M27" i="2"/>
  <c r="M23" i="2"/>
  <c r="C5" i="4" s="1"/>
  <c r="M24" i="2"/>
  <c r="M8" i="2"/>
  <c r="M36" i="2"/>
  <c r="N36" i="2" s="1"/>
  <c r="E34" i="4"/>
  <c r="N30" i="2"/>
  <c r="N9" i="2"/>
  <c r="P9" i="2"/>
  <c r="S9" i="2" s="1"/>
  <c r="M54" i="2"/>
  <c r="G15" i="2"/>
  <c r="G11" i="2"/>
  <c r="F10" i="4"/>
  <c r="R6" i="2"/>
  <c r="S22" i="2"/>
  <c r="M20" i="2"/>
  <c r="M13" i="2"/>
  <c r="S51" i="2"/>
  <c r="U51" i="2" s="1"/>
  <c r="N55" i="4" s="1"/>
  <c r="P36" i="2"/>
  <c r="R9" i="2"/>
  <c r="L13" i="4" s="1"/>
  <c r="M10" i="2"/>
  <c r="G5" i="2"/>
  <c r="F50" i="4"/>
  <c r="R46" i="2"/>
  <c r="P30" i="2"/>
  <c r="R38" i="2"/>
  <c r="F37" i="4"/>
  <c r="R33" i="2"/>
  <c r="F57" i="4"/>
  <c r="R53" i="2"/>
  <c r="N51" i="2"/>
  <c r="E17" i="4"/>
  <c r="N13" i="2"/>
  <c r="P13" i="2"/>
  <c r="E27" i="4"/>
  <c r="P23" i="2"/>
  <c r="S23" i="2" s="1"/>
  <c r="R14" i="2"/>
  <c r="L18" i="4" s="1"/>
  <c r="G24" i="2"/>
  <c r="G8" i="2"/>
  <c r="M26" i="2"/>
  <c r="P42" i="2"/>
  <c r="P25" i="2"/>
  <c r="R42" i="2"/>
  <c r="S6" i="2"/>
  <c r="G21" i="2"/>
  <c r="F9" i="4"/>
  <c r="M31" i="2"/>
  <c r="R39" i="2"/>
  <c r="T14" i="2"/>
  <c r="M18" i="4" s="1"/>
  <c r="S14" i="2"/>
  <c r="U14" i="2" s="1"/>
  <c r="N18" i="4" s="1"/>
  <c r="G18" i="2"/>
  <c r="M7" i="2"/>
  <c r="E38" i="4"/>
  <c r="P34" i="2"/>
  <c r="E18" i="4"/>
  <c r="N14" i="2"/>
  <c r="G40" i="4" l="1"/>
  <c r="O36" i="2"/>
  <c r="H40" i="4" s="1"/>
  <c r="F35" i="4"/>
  <c r="R31" i="2"/>
  <c r="L39" i="4"/>
  <c r="T35" i="2"/>
  <c r="M39" i="4" s="1"/>
  <c r="J40" i="4"/>
  <c r="S36" i="2"/>
  <c r="U36" i="2" s="1"/>
  <c r="N40" i="4" s="1"/>
  <c r="Q36" i="2"/>
  <c r="K40" i="4" s="1"/>
  <c r="G13" i="4"/>
  <c r="O9" i="2"/>
  <c r="H13" i="4" s="1"/>
  <c r="G21" i="4"/>
  <c r="O17" i="2"/>
  <c r="H21" i="4" s="1"/>
  <c r="J11" i="4"/>
  <c r="S7" i="2"/>
  <c r="Q7" i="2"/>
  <c r="K11" i="4" s="1"/>
  <c r="N31" i="2"/>
  <c r="G42" i="4"/>
  <c r="O38" i="2"/>
  <c r="H42" i="4" s="1"/>
  <c r="L51" i="4"/>
  <c r="T47" i="2"/>
  <c r="M51" i="4" s="1"/>
  <c r="J17" i="4"/>
  <c r="Q13" i="2"/>
  <c r="K17" i="4" s="1"/>
  <c r="S13" i="2"/>
  <c r="E57" i="4"/>
  <c r="N53" i="2"/>
  <c r="P53" i="2"/>
  <c r="E41" i="4"/>
  <c r="P37" i="2"/>
  <c r="N37" i="2"/>
  <c r="J21" i="4"/>
  <c r="S17" i="2"/>
  <c r="Q17" i="2"/>
  <c r="K21" i="4" s="1"/>
  <c r="J39" i="4"/>
  <c r="Q35" i="2"/>
  <c r="K39" i="4" s="1"/>
  <c r="S35" i="2"/>
  <c r="U35" i="2" s="1"/>
  <c r="N39" i="4" s="1"/>
  <c r="G43" i="4"/>
  <c r="O39" i="2"/>
  <c r="H43" i="4" s="1"/>
  <c r="G20" i="4"/>
  <c r="O16" i="2"/>
  <c r="H20" i="4" s="1"/>
  <c r="J35" i="4"/>
  <c r="S31" i="2"/>
  <c r="U31" i="2" s="1"/>
  <c r="N35" i="4" s="1"/>
  <c r="Q31" i="2"/>
  <c r="K35" i="4" s="1"/>
  <c r="G32" i="4"/>
  <c r="O28" i="2"/>
  <c r="H32" i="4" s="1"/>
  <c r="J42" i="4"/>
  <c r="Q38" i="2"/>
  <c r="K42" i="4" s="1"/>
  <c r="S38" i="2"/>
  <c r="U38" i="2" s="1"/>
  <c r="N42" i="4" s="1"/>
  <c r="F17" i="4"/>
  <c r="R13" i="2"/>
  <c r="L45" i="4"/>
  <c r="T41" i="2"/>
  <c r="M45" i="4" s="1"/>
  <c r="J33" i="4"/>
  <c r="S29" i="2"/>
  <c r="U29" i="2" s="1"/>
  <c r="N33" i="4" s="1"/>
  <c r="Q29" i="2"/>
  <c r="K33" i="4" s="1"/>
  <c r="J50" i="4"/>
  <c r="Q46" i="2"/>
  <c r="K50" i="4" s="1"/>
  <c r="S46" i="2"/>
  <c r="U46" i="2" s="1"/>
  <c r="N50" i="4" s="1"/>
  <c r="J23" i="4"/>
  <c r="Q19" i="2"/>
  <c r="K23" i="4" s="1"/>
  <c r="S19" i="2"/>
  <c r="G17" i="4"/>
  <c r="O13" i="2"/>
  <c r="H17" i="4" s="1"/>
  <c r="G39" i="4"/>
  <c r="O35" i="2"/>
  <c r="H39" i="4" s="1"/>
  <c r="L57" i="4"/>
  <c r="T53" i="2"/>
  <c r="M57" i="4" s="1"/>
  <c r="F12" i="4"/>
  <c r="R8" i="2"/>
  <c r="L33" i="4"/>
  <c r="T29" i="2"/>
  <c r="M33" i="4" s="1"/>
  <c r="J27" i="4"/>
  <c r="Q23" i="2"/>
  <c r="K27" i="4" s="1"/>
  <c r="O14" i="2"/>
  <c r="H18" i="4" s="1"/>
  <c r="G18" i="4"/>
  <c r="O42" i="2"/>
  <c r="H46" i="4" s="1"/>
  <c r="G46" i="4"/>
  <c r="L32" i="4"/>
  <c r="T28" i="2"/>
  <c r="M32" i="4" s="1"/>
  <c r="F24" i="4"/>
  <c r="N20" i="2"/>
  <c r="Q20" i="2"/>
  <c r="K24" i="4" s="1"/>
  <c r="R20" i="2"/>
  <c r="F28" i="4"/>
  <c r="R24" i="2"/>
  <c r="L48" i="4"/>
  <c r="T44" i="2"/>
  <c r="M48" i="4" s="1"/>
  <c r="G16" i="4"/>
  <c r="O12" i="2"/>
  <c r="H16" i="4" s="1"/>
  <c r="J14" i="4"/>
  <c r="S10" i="2"/>
  <c r="Q10" i="2"/>
  <c r="K14" i="4" s="1"/>
  <c r="L53" i="4"/>
  <c r="T49" i="2"/>
  <c r="M53" i="4" s="1"/>
  <c r="G48" i="4"/>
  <c r="O44" i="2"/>
  <c r="H48" i="4" s="1"/>
  <c r="J53" i="4"/>
  <c r="Q49" i="2"/>
  <c r="K53" i="4" s="1"/>
  <c r="S49" i="2"/>
  <c r="U49" i="2" s="1"/>
  <c r="N53" i="4" s="1"/>
  <c r="G34" i="4"/>
  <c r="O30" i="2"/>
  <c r="H34" i="4" s="1"/>
  <c r="J20" i="4"/>
  <c r="Q16" i="2"/>
  <c r="K20" i="4" s="1"/>
  <c r="L46" i="4"/>
  <c r="T42" i="2"/>
  <c r="M46" i="4" s="1"/>
  <c r="G50" i="4"/>
  <c r="O46" i="2"/>
  <c r="H50" i="4" s="1"/>
  <c r="J46" i="4"/>
  <c r="Q42" i="2"/>
  <c r="K46" i="4" s="1"/>
  <c r="S42" i="2"/>
  <c r="U42" i="2" s="1"/>
  <c r="N46" i="4" s="1"/>
  <c r="J38" i="4"/>
  <c r="S34" i="2"/>
  <c r="U34" i="2" s="1"/>
  <c r="N38" i="4" s="1"/>
  <c r="Q34" i="2"/>
  <c r="K38" i="4" s="1"/>
  <c r="F30" i="4"/>
  <c r="R26" i="2"/>
  <c r="L37" i="4"/>
  <c r="T33" i="2"/>
  <c r="M37" i="4" s="1"/>
  <c r="J16" i="4"/>
  <c r="Q12" i="2"/>
  <c r="K16" i="4" s="1"/>
  <c r="S12" i="2"/>
  <c r="G14" i="4"/>
  <c r="O10" i="2"/>
  <c r="H14" i="4" s="1"/>
  <c r="J48" i="4"/>
  <c r="Q44" i="2"/>
  <c r="K48" i="4" s="1"/>
  <c r="S44" i="2"/>
  <c r="U44" i="2" s="1"/>
  <c r="N48" i="4" s="1"/>
  <c r="G53" i="4"/>
  <c r="O49" i="2"/>
  <c r="H53" i="4" s="1"/>
  <c r="P21" i="2"/>
  <c r="E25" i="4"/>
  <c r="N21" i="2"/>
  <c r="L44" i="4"/>
  <c r="T40" i="2"/>
  <c r="M44" i="4" s="1"/>
  <c r="G55" i="4"/>
  <c r="O51" i="2"/>
  <c r="H55" i="4" s="1"/>
  <c r="E47" i="4"/>
  <c r="P43" i="2"/>
  <c r="N43" i="2"/>
  <c r="F27" i="4"/>
  <c r="R23" i="2"/>
  <c r="G54" i="4"/>
  <c r="O50" i="2"/>
  <c r="H54" i="4" s="1"/>
  <c r="G37" i="4"/>
  <c r="O33" i="2"/>
  <c r="H37" i="4" s="1"/>
  <c r="L23" i="4"/>
  <c r="T19" i="2"/>
  <c r="M23" i="4" s="1"/>
  <c r="L54" i="4"/>
  <c r="T50" i="2"/>
  <c r="M54" i="4" s="1"/>
  <c r="J32" i="4"/>
  <c r="Q28" i="2"/>
  <c r="K32" i="4" s="1"/>
  <c r="S28" i="2"/>
  <c r="U28" i="2" s="1"/>
  <c r="N32" i="4" s="1"/>
  <c r="L56" i="4"/>
  <c r="T52" i="2"/>
  <c r="M56" i="4" s="1"/>
  <c r="F11" i="4"/>
  <c r="R7" i="2"/>
  <c r="E12" i="4"/>
  <c r="P8" i="2"/>
  <c r="N8" i="2"/>
  <c r="L42" i="4"/>
  <c r="T38" i="2"/>
  <c r="M42" i="4" s="1"/>
  <c r="F31" i="4"/>
  <c r="R27" i="2"/>
  <c r="J54" i="4"/>
  <c r="Q50" i="2"/>
  <c r="K54" i="4" s="1"/>
  <c r="S50" i="2"/>
  <c r="U50" i="2" s="1"/>
  <c r="N54" i="4" s="1"/>
  <c r="J37" i="4"/>
  <c r="S33" i="2"/>
  <c r="U33" i="2" s="1"/>
  <c r="N37" i="4" s="1"/>
  <c r="Q33" i="2"/>
  <c r="K37" i="4" s="1"/>
  <c r="G10" i="4"/>
  <c r="O6" i="2"/>
  <c r="H10" i="4" s="1"/>
  <c r="J49" i="4"/>
  <c r="S45" i="2"/>
  <c r="U45" i="2" s="1"/>
  <c r="N49" i="4" s="1"/>
  <c r="Q45" i="2"/>
  <c r="K49" i="4" s="1"/>
  <c r="L41" i="4"/>
  <c r="T37" i="2"/>
  <c r="M41" i="4" s="1"/>
  <c r="J51" i="4"/>
  <c r="S47" i="2"/>
  <c r="U47" i="2" s="1"/>
  <c r="N51" i="4" s="1"/>
  <c r="Q47" i="2"/>
  <c r="K51" i="4" s="1"/>
  <c r="J13" i="4"/>
  <c r="Q9" i="2"/>
  <c r="K13" i="4" s="1"/>
  <c r="L26" i="4"/>
  <c r="T22" i="2"/>
  <c r="M26" i="4" s="1"/>
  <c r="L10" i="4"/>
  <c r="E22" i="4"/>
  <c r="P18" i="2"/>
  <c r="N18" i="2"/>
  <c r="E28" i="4"/>
  <c r="P24" i="2"/>
  <c r="S24" i="2" s="1"/>
  <c r="N24" i="2"/>
  <c r="J34" i="4"/>
  <c r="S30" i="2"/>
  <c r="U30" i="2" s="1"/>
  <c r="N34" i="4" s="1"/>
  <c r="Q30" i="2"/>
  <c r="K34" i="4" s="1"/>
  <c r="E15" i="4"/>
  <c r="P11" i="2"/>
  <c r="N11" i="2"/>
  <c r="L47" i="4"/>
  <c r="T43" i="2"/>
  <c r="M47" i="4" s="1"/>
  <c r="J10" i="4"/>
  <c r="Q6" i="2"/>
  <c r="K10" i="4" s="1"/>
  <c r="L36" i="4"/>
  <c r="T32" i="2"/>
  <c r="M36" i="4" s="1"/>
  <c r="G49" i="4"/>
  <c r="O45" i="2"/>
  <c r="H49" i="4" s="1"/>
  <c r="L34" i="4"/>
  <c r="T30" i="2"/>
  <c r="M34" i="4" s="1"/>
  <c r="G51" i="4"/>
  <c r="O47" i="2"/>
  <c r="H51" i="4" s="1"/>
  <c r="J43" i="4"/>
  <c r="S39" i="2"/>
  <c r="U39" i="2" s="1"/>
  <c r="N43" i="4" s="1"/>
  <c r="Q39" i="2"/>
  <c r="K43" i="4" s="1"/>
  <c r="L50" i="4"/>
  <c r="T46" i="2"/>
  <c r="M50" i="4" s="1"/>
  <c r="P15" i="2"/>
  <c r="N15" i="2"/>
  <c r="E19" i="4"/>
  <c r="J44" i="4"/>
  <c r="Q40" i="2"/>
  <c r="K44" i="4" s="1"/>
  <c r="S40" i="2"/>
  <c r="U40" i="2" s="1"/>
  <c r="N44" i="4" s="1"/>
  <c r="G45" i="4"/>
  <c r="O41" i="2"/>
  <c r="H45" i="4" s="1"/>
  <c r="L38" i="4"/>
  <c r="T34" i="2"/>
  <c r="M38" i="4" s="1"/>
  <c r="L55" i="4"/>
  <c r="T51" i="2"/>
  <c r="M55" i="4" s="1"/>
  <c r="F58" i="4"/>
  <c r="R54" i="2"/>
  <c r="J52" i="4"/>
  <c r="S48" i="2"/>
  <c r="U48" i="2" s="1"/>
  <c r="N52" i="4" s="1"/>
  <c r="Q48" i="2"/>
  <c r="K52" i="4" s="1"/>
  <c r="G44" i="4"/>
  <c r="O40" i="2"/>
  <c r="H44" i="4" s="1"/>
  <c r="O34" i="2"/>
  <c r="H38" i="4" s="1"/>
  <c r="G38" i="4"/>
  <c r="L52" i="4"/>
  <c r="T48" i="2"/>
  <c r="M52" i="4" s="1"/>
  <c r="J36" i="4"/>
  <c r="Q32" i="2"/>
  <c r="K36" i="4" s="1"/>
  <c r="S32" i="2"/>
  <c r="U32" i="2" s="1"/>
  <c r="N36" i="4" s="1"/>
  <c r="J58" i="4"/>
  <c r="Q54" i="2"/>
  <c r="K58" i="4" s="1"/>
  <c r="S54" i="2"/>
  <c r="U54" i="2" s="1"/>
  <c r="N58" i="4" s="1"/>
  <c r="J29" i="4"/>
  <c r="S25" i="2"/>
  <c r="Q25" i="2"/>
  <c r="K29" i="4" s="1"/>
  <c r="L43" i="4"/>
  <c r="T39" i="2"/>
  <c r="M43" i="4" s="1"/>
  <c r="B5" i="4"/>
  <c r="P5" i="2"/>
  <c r="E9" i="4"/>
  <c r="N5" i="2"/>
  <c r="R17" i="2"/>
  <c r="F21" i="4"/>
  <c r="G52" i="4"/>
  <c r="O48" i="2"/>
  <c r="H52" i="4" s="1"/>
  <c r="J45" i="4"/>
  <c r="Q41" i="2"/>
  <c r="K45" i="4" s="1"/>
  <c r="S41" i="2"/>
  <c r="U41" i="2" s="1"/>
  <c r="N45" i="4" s="1"/>
  <c r="G26" i="4"/>
  <c r="O22" i="2"/>
  <c r="H26" i="4" s="1"/>
  <c r="G36" i="4"/>
  <c r="O32" i="2"/>
  <c r="H36" i="4" s="1"/>
  <c r="L29" i="4"/>
  <c r="T25" i="2"/>
  <c r="M29" i="4" s="1"/>
  <c r="N54" i="2"/>
  <c r="G30" i="4"/>
  <c r="O26" i="2"/>
  <c r="H30" i="4" s="1"/>
  <c r="L49" i="4"/>
  <c r="T45" i="2"/>
  <c r="M49" i="4" s="1"/>
  <c r="F40" i="4"/>
  <c r="R36" i="2"/>
  <c r="G33" i="4"/>
  <c r="O29" i="2"/>
  <c r="H33" i="4" s="1"/>
  <c r="E31" i="4"/>
  <c r="P27" i="2"/>
  <c r="N27" i="2"/>
  <c r="N23" i="2"/>
  <c r="F14" i="4"/>
  <c r="R10" i="2"/>
  <c r="E56" i="4"/>
  <c r="P52" i="2"/>
  <c r="N52" i="2"/>
  <c r="F15" i="4"/>
  <c r="R11" i="2"/>
  <c r="G23" i="4"/>
  <c r="O19" i="2"/>
  <c r="H23" i="4" s="1"/>
  <c r="N7" i="2"/>
  <c r="J26" i="4"/>
  <c r="Q22" i="2"/>
  <c r="K26" i="4" s="1"/>
  <c r="J30" i="4"/>
  <c r="Q26" i="2"/>
  <c r="K30" i="4" s="1"/>
  <c r="S26" i="2"/>
  <c r="U26" i="2" s="1"/>
  <c r="N30" i="4" s="1"/>
  <c r="G29" i="4"/>
  <c r="O25" i="2"/>
  <c r="H29" i="4" s="1"/>
  <c r="U25" i="2" l="1"/>
  <c r="N29" i="4" s="1"/>
  <c r="J22" i="4"/>
  <c r="Q18" i="2"/>
  <c r="S18" i="2"/>
  <c r="G47" i="4"/>
  <c r="O43" i="2"/>
  <c r="H47" i="4" s="1"/>
  <c r="J41" i="4"/>
  <c r="Q37" i="2"/>
  <c r="K41" i="4" s="1"/>
  <c r="S37" i="2"/>
  <c r="U37" i="2" s="1"/>
  <c r="N41" i="4" s="1"/>
  <c r="T6" i="2"/>
  <c r="J57" i="4"/>
  <c r="Q53" i="2"/>
  <c r="K57" i="4" s="1"/>
  <c r="S53" i="2"/>
  <c r="U53" i="2" s="1"/>
  <c r="N57" i="4" s="1"/>
  <c r="G57" i="4"/>
  <c r="O53" i="2"/>
  <c r="H57" i="4" s="1"/>
  <c r="G58" i="4"/>
  <c r="O54" i="2"/>
  <c r="H58" i="4" s="1"/>
  <c r="T12" i="2"/>
  <c r="M16" i="4" s="1"/>
  <c r="J47" i="4"/>
  <c r="Q43" i="2"/>
  <c r="K47" i="4" s="1"/>
  <c r="S43" i="2"/>
  <c r="U43" i="2" s="1"/>
  <c r="N47" i="4" s="1"/>
  <c r="G27" i="4"/>
  <c r="O23" i="2"/>
  <c r="H27" i="4" s="1"/>
  <c r="J19" i="4"/>
  <c r="Q15" i="2"/>
  <c r="S15" i="2"/>
  <c r="U22" i="2"/>
  <c r="N26" i="4" s="1"/>
  <c r="U13" i="2"/>
  <c r="N17" i="4" s="1"/>
  <c r="J9" i="4"/>
  <c r="Q5" i="2"/>
  <c r="S5" i="2"/>
  <c r="G19" i="4"/>
  <c r="O15" i="2"/>
  <c r="H19" i="4" s="1"/>
  <c r="L28" i="4"/>
  <c r="L12" i="4"/>
  <c r="T8" i="2"/>
  <c r="M12" i="4" s="1"/>
  <c r="U12" i="2"/>
  <c r="N16" i="4" s="1"/>
  <c r="L58" i="4"/>
  <c r="T54" i="2"/>
  <c r="M58" i="4" s="1"/>
  <c r="J15" i="4"/>
  <c r="Q11" i="2"/>
  <c r="K15" i="4" s="1"/>
  <c r="S11" i="2"/>
  <c r="G25" i="4"/>
  <c r="O21" i="2"/>
  <c r="H25" i="4" s="1"/>
  <c r="G15" i="4"/>
  <c r="O11" i="2"/>
  <c r="H15" i="4" s="1"/>
  <c r="L24" i="4"/>
  <c r="T20" i="2"/>
  <c r="T9" i="2"/>
  <c r="J25" i="4"/>
  <c r="Q21" i="2"/>
  <c r="S21" i="2"/>
  <c r="G24" i="4"/>
  <c r="O20" i="2"/>
  <c r="H24" i="4" s="1"/>
  <c r="L17" i="4"/>
  <c r="T13" i="2"/>
  <c r="M17" i="4" s="1"/>
  <c r="L35" i="4"/>
  <c r="T31" i="2"/>
  <c r="M35" i="4" s="1"/>
  <c r="L30" i="4"/>
  <c r="T26" i="2"/>
  <c r="M30" i="4" s="1"/>
  <c r="J56" i="4"/>
  <c r="Q52" i="2"/>
  <c r="K56" i="4" s="1"/>
  <c r="S52" i="2"/>
  <c r="U52" i="2" s="1"/>
  <c r="N56" i="4" s="1"/>
  <c r="G28" i="4"/>
  <c r="O24" i="2"/>
  <c r="H28" i="4" s="1"/>
  <c r="G12" i="4"/>
  <c r="O8" i="2"/>
  <c r="H12" i="4" s="1"/>
  <c r="G35" i="4"/>
  <c r="O31" i="2"/>
  <c r="H35" i="4" s="1"/>
  <c r="L14" i="4"/>
  <c r="T10" i="2"/>
  <c r="M14" i="4" s="1"/>
  <c r="G31" i="4"/>
  <c r="O27" i="2"/>
  <c r="H31" i="4" s="1"/>
  <c r="J31" i="4"/>
  <c r="S27" i="2"/>
  <c r="U27" i="2" s="1"/>
  <c r="N31" i="4" s="1"/>
  <c r="Q27" i="2"/>
  <c r="K31" i="4" s="1"/>
  <c r="L31" i="4"/>
  <c r="T27" i="2"/>
  <c r="M31" i="4" s="1"/>
  <c r="G11" i="4"/>
  <c r="O7" i="2"/>
  <c r="H11" i="4" s="1"/>
  <c r="T16" i="2"/>
  <c r="L15" i="4"/>
  <c r="J12" i="4"/>
  <c r="S8" i="2"/>
  <c r="Q8" i="2"/>
  <c r="K12" i="4" s="1"/>
  <c r="U17" i="2"/>
  <c r="N21" i="4" s="1"/>
  <c r="L40" i="4"/>
  <c r="T36" i="2"/>
  <c r="M40" i="4" s="1"/>
  <c r="J28" i="4"/>
  <c r="Q24" i="2"/>
  <c r="K28" i="4" s="1"/>
  <c r="D5" i="4"/>
  <c r="G9" i="4"/>
  <c r="O5" i="2"/>
  <c r="L27" i="4"/>
  <c r="T23" i="2"/>
  <c r="L21" i="4"/>
  <c r="T17" i="2"/>
  <c r="M21" i="4" s="1"/>
  <c r="G56" i="4"/>
  <c r="O52" i="2"/>
  <c r="H56" i="4" s="1"/>
  <c r="O18" i="2"/>
  <c r="H22" i="4" s="1"/>
  <c r="G22" i="4"/>
  <c r="L11" i="4"/>
  <c r="T7" i="2"/>
  <c r="M11" i="4" s="1"/>
  <c r="U19" i="2"/>
  <c r="N23" i="4" s="1"/>
  <c r="G41" i="4"/>
  <c r="O37" i="2"/>
  <c r="H41" i="4" s="1"/>
  <c r="M27" i="4" l="1"/>
  <c r="U23" i="2"/>
  <c r="N27" i="4" s="1"/>
  <c r="T24" i="2"/>
  <c r="K9" i="4"/>
  <c r="T5" i="2"/>
  <c r="M9" i="4" s="1"/>
  <c r="H9" i="4"/>
  <c r="J5" i="4"/>
  <c r="I5" i="4"/>
  <c r="H5" i="4"/>
  <c r="G5" i="4"/>
  <c r="F5" i="4"/>
  <c r="U15" i="2"/>
  <c r="N19" i="4" s="1"/>
  <c r="M10" i="4"/>
  <c r="U6" i="2"/>
  <c r="N10" i="4" s="1"/>
  <c r="U8" i="2"/>
  <c r="N12" i="4" s="1"/>
  <c r="U10" i="2"/>
  <c r="N14" i="4" s="1"/>
  <c r="U11" i="2"/>
  <c r="N15" i="4" s="1"/>
  <c r="K19" i="4"/>
  <c r="T15" i="2"/>
  <c r="M19" i="4" s="1"/>
  <c r="K25" i="4"/>
  <c r="T21" i="2"/>
  <c r="M25" i="4" s="1"/>
  <c r="T11" i="2"/>
  <c r="M15" i="4" s="1"/>
  <c r="U21" i="2"/>
  <c r="N25" i="4" s="1"/>
  <c r="M20" i="4"/>
  <c r="U16" i="2"/>
  <c r="N20" i="4" s="1"/>
  <c r="M13" i="4"/>
  <c r="U9" i="2"/>
  <c r="N13" i="4" s="1"/>
  <c r="K22" i="4"/>
  <c r="T18" i="2"/>
  <c r="M22" i="4" s="1"/>
  <c r="U7" i="2"/>
  <c r="N11" i="4" s="1"/>
  <c r="M24" i="4"/>
  <c r="U20" i="2"/>
  <c r="N24" i="4" s="1"/>
  <c r="M28" i="4" l="1"/>
  <c r="U24" i="2"/>
  <c r="N28" i="4" s="1"/>
  <c r="U18" i="2"/>
  <c r="N22" i="4" s="1"/>
  <c r="U5" i="2"/>
  <c r="N9" i="4" l="1"/>
  <c r="E5" i="4"/>
</calcChain>
</file>

<file path=xl/sharedStrings.xml><?xml version="1.0" encoding="utf-8"?>
<sst xmlns="http://schemas.openxmlformats.org/spreadsheetml/2006/main" count="487" uniqueCount="389">
  <si>
    <t>AI Moat Risk Analyzer — Portfolio Input</t>
  </si>
  <si>
    <t>Enter tickers in column A. Bloomberg BDP formulas auto-populate. Blue cells = manual inputs.</t>
  </si>
  <si>
    <t>HOW IT WORKS: Type ticker → Bloomberg populates financials → Score in Moat Scoring &amp; BM Risk tabs → Dashboard auto-calculates.</t>
  </si>
  <si>
    <t>Ticker</t>
  </si>
  <si>
    <t>Company Name</t>
  </si>
  <si>
    <t>GICS Sector</t>
  </si>
  <si>
    <t>GICS Sub-Industry</t>
  </si>
  <si>
    <t>Price ($)</t>
  </si>
  <si>
    <t>Mkt Cap ($B)</t>
  </si>
  <si>
    <t>Beta</t>
  </si>
  <si>
    <t>Fwd P/E (x)</t>
  </si>
  <si>
    <t>ROIC (%)</t>
  </si>
  <si>
    <t>ROE (%)</t>
  </si>
  <si>
    <t>Gross Margin (%)</t>
  </si>
  <si>
    <t>Op. Margin (%)</t>
  </si>
  <si>
    <t>Net Margin (%)</t>
  </si>
  <si>
    <t>FCF Yield (%)</t>
  </si>
  <si>
    <t>D/E (x)</t>
  </si>
  <si>
    <t>Div Yield (%)</t>
  </si>
  <si>
    <t>EV/EBITDA (x)</t>
  </si>
  <si>
    <t>P/B (x)</t>
  </si>
  <si>
    <t>R&amp;D/Rev (%)</t>
  </si>
  <si>
    <t>5yr Rev CAGR (%)</t>
  </si>
  <si>
    <t>WACC Est (%)</t>
  </si>
  <si>
    <t>AAPL</t>
  </si>
  <si>
    <t>MSFT</t>
  </si>
  <si>
    <t>GOOGL</t>
  </si>
  <si>
    <t>NVDA</t>
  </si>
  <si>
    <t>AMZN</t>
  </si>
  <si>
    <t>META</t>
  </si>
  <si>
    <t>V</t>
  </si>
  <si>
    <t>MA</t>
  </si>
  <si>
    <t>ACN</t>
  </si>
  <si>
    <t>CRM</t>
  </si>
  <si>
    <t>ADBE</t>
  </si>
  <si>
    <t>NOW</t>
  </si>
  <si>
    <t>WU</t>
  </si>
  <si>
    <t>INFY</t>
  </si>
  <si>
    <t>UNH</t>
  </si>
  <si>
    <t>JPM</t>
  </si>
  <si>
    <t>BLK</t>
  </si>
  <si>
    <t>LLY</t>
  </si>
  <si>
    <t>XOM</t>
  </si>
  <si>
    <t>NEE</t>
  </si>
  <si>
    <t>Moat &amp; AI Risk Scoring</t>
  </si>
  <si>
    <t>Scores AUTO-POPULATE from sector defaults via VLOOKUP. Type over any cell to override with your own assessment. Blue cells = sector defaults; type to override.</t>
  </si>
  <si>
    <t>NOTE: When you add a ticker in Portfolio Input and Bloomberg fills the GICS Sector, these scores auto-fill. Override by simply typing a new value.</t>
  </si>
  <si>
    <t>SC
(25%)</t>
  </si>
  <si>
    <t>NE
(20%)</t>
  </si>
  <si>
    <t>IA
(25%)</t>
  </si>
  <si>
    <t>CA
(15%)</t>
  </si>
  <si>
    <t>ES
(15%)</t>
  </si>
  <si>
    <t>Moat</t>
  </si>
  <si>
    <t>LS
(25%)</t>
  </si>
  <si>
    <t>VCD
(25%)</t>
  </si>
  <si>
    <t>DME
(15%)</t>
  </si>
  <si>
    <t>ANC
(20%)</t>
  </si>
  <si>
    <t>CIR
(15%)</t>
  </si>
  <si>
    <t>AI Risk</t>
  </si>
  <si>
    <t>Net
Moat</t>
  </si>
  <si>
    <t>Tier</t>
  </si>
  <si>
    <t>Base
CAP</t>
  </si>
  <si>
    <t>Adj
CAP</t>
  </si>
  <si>
    <t>WACC+
(bp)</t>
  </si>
  <si>
    <t>Base
P/E</t>
  </si>
  <si>
    <t>Adj
P/E</t>
  </si>
  <si>
    <t>Haircut
(%)</t>
  </si>
  <si>
    <t>Business Model Risk — Westwood Research AI Moat Decay Framework</t>
  </si>
  <si>
    <t>Scores START BLANK for new tickers. Fill in manually based on your research. For pre-loaded tickers, values are pre-filled.</t>
  </si>
  <si>
    <t>TIP: Use the Methodology &amp; Wiki tab for definitions of each field. The webapp (moat_westwood.html) auto-fills these via Claude API.</t>
  </si>
  <si>
    <t>System Type</t>
  </si>
  <si>
    <t>Capital</t>
  </si>
  <si>
    <t>Value Delivery</t>
  </si>
  <si>
    <t>Vertical/Horiz</t>
  </si>
  <si>
    <t>Margin Structure</t>
  </si>
  <si>
    <t>WR Moat Tier</t>
  </si>
  <si>
    <t>Buy vs Build
(1-5)</t>
  </si>
  <si>
    <t>JTBD Density
(1-5)</t>
  </si>
  <si>
    <t>Moat Decay Rate</t>
  </si>
  <si>
    <t>Notes</t>
  </si>
  <si>
    <t>Composite Risk</t>
  </si>
  <si>
    <t>System of Record</t>
  </si>
  <si>
    <t>Medium</t>
  </si>
  <si>
    <t>Physical Product</t>
  </si>
  <si>
    <t>Deep Vertical</t>
  </si>
  <si>
    <t>Physical/Reg Premium</t>
  </si>
  <si>
    <t>Judgment Moat</t>
  </si>
  <si>
    <t>10+ Years</t>
  </si>
  <si>
    <t>Asset-Light</t>
  </si>
  <si>
    <t>Workflow Automation</t>
  </si>
  <si>
    <t>Horizontal</t>
  </si>
  <si>
    <t>Value-Add Software</t>
  </si>
  <si>
    <t>Action Moat</t>
  </si>
  <si>
    <t>5-10 Years</t>
  </si>
  <si>
    <t>System of Action</t>
  </si>
  <si>
    <t>Data Access</t>
  </si>
  <si>
    <t>Domain Judgment</t>
  </si>
  <si>
    <t>Physical/Regulatory</t>
  </si>
  <si>
    <t>Heavy</t>
  </si>
  <si>
    <t>Infrastructure</t>
  </si>
  <si>
    <t>Platform/Marketplace</t>
  </si>
  <si>
    <t>Speed Moat</t>
  </si>
  <si>
    <t>Months</t>
  </si>
  <si>
    <t>LLM Wrapper</t>
  </si>
  <si>
    <t>1-2 Years</t>
  </si>
  <si>
    <t>No Durable Moat</t>
  </si>
  <si>
    <t>Portfolio AI Disruption Risk Dashboard</t>
  </si>
  <si>
    <t>All auto-calculated. Add tickers in Portfolio Input → score in Moat Scoring &amp; BM Risk → this updates.</t>
  </si>
  <si>
    <t># Companies</t>
  </si>
  <si>
    <t>Avg Moat</t>
  </si>
  <si>
    <t>Avg AI Risk</t>
  </si>
  <si>
    <t>Avg Net</t>
  </si>
  <si>
    <t>Avg Haircut %</t>
  </si>
  <si>
    <t># CRITICAL</t>
  </si>
  <si>
    <t># HIGH</t>
  </si>
  <si>
    <t># MEDIUM</t>
  </si>
  <si>
    <t># LOW-MED</t>
  </si>
  <si>
    <t># LOW</t>
  </si>
  <si>
    <t>Company Detail</t>
  </si>
  <si>
    <t>Company</t>
  </si>
  <si>
    <t>Sector</t>
  </si>
  <si>
    <t>Sub-Industry</t>
  </si>
  <si>
    <t>Net</t>
  </si>
  <si>
    <t>WR Tier</t>
  </si>
  <si>
    <t>CAP</t>
  </si>
  <si>
    <t>Adj CAP</t>
  </si>
  <si>
    <t>WACC+bp</t>
  </si>
  <si>
    <t>Adj P/E</t>
  </si>
  <si>
    <t>Haircut %</t>
  </si>
  <si>
    <t>GICS Sector — AI Disruption Risk</t>
  </si>
  <si>
    <t>SC</t>
  </si>
  <si>
    <t>NE</t>
  </si>
  <si>
    <t>IA</t>
  </si>
  <si>
    <t>CA</t>
  </si>
  <si>
    <t>ES</t>
  </si>
  <si>
    <t>LS</t>
  </si>
  <si>
    <t>VCD</t>
  </si>
  <si>
    <t>DME</t>
  </si>
  <si>
    <t>ANC</t>
  </si>
  <si>
    <t>CIR</t>
  </si>
  <si>
    <t>Net Moat</t>
  </si>
  <si>
    <t>Information Technology</t>
  </si>
  <si>
    <t>Communication Services</t>
  </si>
  <si>
    <t>Health Care</t>
  </si>
  <si>
    <t>Financials</t>
  </si>
  <si>
    <t>Consumer Staples</t>
  </si>
  <si>
    <t>Industrials</t>
  </si>
  <si>
    <t>Consumer Discretionary</t>
  </si>
  <si>
    <t>Energy</t>
  </si>
  <si>
    <t>Utilities</t>
  </si>
  <si>
    <t>Real Estate</t>
  </si>
  <si>
    <t>Materials</t>
  </si>
  <si>
    <t>GICS Subsector — AI Disruption Risk Drill-Down</t>
  </si>
  <si>
    <t>Shows differentiated AI risk within each sector. Semis ≠ SaaS ≠ IT Services.</t>
  </si>
  <si>
    <t>Subsector</t>
  </si>
  <si>
    <t>Examples</t>
  </si>
  <si>
    <t>Info Tech</t>
  </si>
  <si>
    <t>Enterprise SaaS</t>
  </si>
  <si>
    <t>CRM, WDAY, NOW</t>
  </si>
  <si>
    <t>Semiconductors</t>
  </si>
  <si>
    <t>NVDA, AMD, INTC</t>
  </si>
  <si>
    <t>IT Services</t>
  </si>
  <si>
    <t>ACN, IBM, INFY</t>
  </si>
  <si>
    <t>Internet / Search</t>
  </si>
  <si>
    <t>GOOGL, META</t>
  </si>
  <si>
    <t>Hardware / Devices</t>
  </si>
  <si>
    <t>AAPL, DELL</t>
  </si>
  <si>
    <t>Cybersecurity</t>
  </si>
  <si>
    <t>CRWD, PANW</t>
  </si>
  <si>
    <t>Pharma / Biotech</t>
  </si>
  <si>
    <t>LLY, JNJ, PFE</t>
  </si>
  <si>
    <t>Medical Devices</t>
  </si>
  <si>
    <t>MDT, SYK, ABT</t>
  </si>
  <si>
    <t>Health IT</t>
  </si>
  <si>
    <t>VEEV, HIMS</t>
  </si>
  <si>
    <t>Managed Care</t>
  </si>
  <si>
    <t>UNH, ELV, CI</t>
  </si>
  <si>
    <t>Banks</t>
  </si>
  <si>
    <t>JPM, BAC, WFC</t>
  </si>
  <si>
    <t>Asset Mgmt</t>
  </si>
  <si>
    <t>BLK, BX, WHG</t>
  </si>
  <si>
    <t>Payments/Fintech</t>
  </si>
  <si>
    <t>V, MA, SQ</t>
  </si>
  <si>
    <t>Exchanges</t>
  </si>
  <si>
    <t>SCHW, ICE, CME</t>
  </si>
  <si>
    <t>Cons Disc</t>
  </si>
  <si>
    <t>E-Commerce</t>
  </si>
  <si>
    <t>AMZN, EBAY</t>
  </si>
  <si>
    <t>Restaurants</t>
  </si>
  <si>
    <t>MCD, SBUX</t>
  </si>
  <si>
    <t>Luxury/Apparel</t>
  </si>
  <si>
    <t>NKE, LULU</t>
  </si>
  <si>
    <t>Travel/Leisure</t>
  </si>
  <si>
    <t>BKNG, ABNB</t>
  </si>
  <si>
    <t>Comm Svcs</t>
  </si>
  <si>
    <t>Social Media</t>
  </si>
  <si>
    <t>META, SNAP</t>
  </si>
  <si>
    <t>Streaming</t>
  </si>
  <si>
    <t>NFLX, DIS</t>
  </si>
  <si>
    <t>Telecom</t>
  </si>
  <si>
    <t>T, VZ, TMUS</t>
  </si>
  <si>
    <t>Aero &amp; Defense</t>
  </si>
  <si>
    <t>LMT, RTX, BA</t>
  </si>
  <si>
    <t>Automation</t>
  </si>
  <si>
    <t>ROK, EMR, HON</t>
  </si>
  <si>
    <t>Transport/Logistics</t>
  </si>
  <si>
    <t>UPS, FDX, UNP</t>
  </si>
  <si>
    <t>Staffing/HR</t>
  </si>
  <si>
    <t>RHI, MAN</t>
  </si>
  <si>
    <t>Integrated O&amp;G</t>
  </si>
  <si>
    <t>XOM, CVX</t>
  </si>
  <si>
    <t>Oilfield Svcs</t>
  </si>
  <si>
    <t>SLB, HAL</t>
  </si>
  <si>
    <t>Renewables</t>
  </si>
  <si>
    <t>ENPH, FSLR</t>
  </si>
  <si>
    <t>Staples</t>
  </si>
  <si>
    <t>Beverages</t>
  </si>
  <si>
    <t>KO, PEP</t>
  </si>
  <si>
    <t>Packaged Food</t>
  </si>
  <si>
    <t>PG, MDLZ</t>
  </si>
  <si>
    <t>Retail/Grocery</t>
  </si>
  <si>
    <t>WMT, COST</t>
  </si>
  <si>
    <t>Regulated Elec</t>
  </si>
  <si>
    <t>NEE, DUK</t>
  </si>
  <si>
    <t>Data Center REITs</t>
  </si>
  <si>
    <t>EQIX, DLR</t>
  </si>
  <si>
    <t>Office REITs</t>
  </si>
  <si>
    <t>BXP, VNO</t>
  </si>
  <si>
    <t>Chemicals</t>
  </si>
  <si>
    <t>LIN, APD</t>
  </si>
  <si>
    <t>Mining/Metals</t>
  </si>
  <si>
    <t>FCX, NEM</t>
  </si>
  <si>
    <t>AI Moat Risk Analyzer — Methodology, Framework &amp; Definitions</t>
  </si>
  <si>
    <t>OVERVIEW</t>
  </si>
  <si>
    <t>Purpose</t>
  </si>
  <si>
    <t>Evaluates moat durability under AI disruption</t>
  </si>
  <si>
    <t>Combines Morningstar moat + AI risk + Westwood Research BM risk</t>
  </si>
  <si>
    <t>Output</t>
  </si>
  <si>
    <t>AI-adjusted justified P/E and valuation haircut</t>
  </si>
  <si>
    <t>Quantifies % of fair value at risk from AI disruption</t>
  </si>
  <si>
    <t>DATA SOURCES</t>
  </si>
  <si>
    <t>Bloomberg Terminal</t>
  </si>
  <si>
    <t>BDP() formulas in Portfolio Input</t>
  </si>
  <si>
    <t>Live financials: price, beta, margins, multiples</t>
  </si>
  <si>
    <t>Moat/AI Scores</t>
  </si>
  <si>
    <t>Manual 1-5 in Moat Scoring tab (blue cells)</t>
  </si>
  <si>
    <t>Analyst assessment per company</t>
  </si>
  <si>
    <t>BM Risk</t>
  </si>
  <si>
    <t>Manual in Business Model Risk tab</t>
  </si>
  <si>
    <t>Westwood Research framework</t>
  </si>
  <si>
    <t>MOAT FRAMEWORK (Morningstar 5-Source)</t>
  </si>
  <si>
    <t>Switching Costs (25%)</t>
  </si>
  <si>
    <t>Cost of changing providers</t>
  </si>
  <si>
    <t>5=extreme lock-in (Oracle ERP, Epic EMR)</t>
  </si>
  <si>
    <t>Network Effects (20%)</t>
  </si>
  <si>
    <t>Value increases with users</t>
  </si>
  <si>
    <t>5=powerful networks (Visa, Meta)</t>
  </si>
  <si>
    <t>Intangible Assets (25%)</t>
  </si>
  <si>
    <t>Patents, brands, licenses</t>
  </si>
  <si>
    <t>5=irreplaceable (LLY patents, KO brand)</t>
  </si>
  <si>
    <t>Cost Advantage (15%)</t>
  </si>
  <si>
    <t>Structural cost leadership</t>
  </si>
  <si>
    <t>5=massive cost moat (XOM, WMT)</t>
  </si>
  <si>
    <t>Efficient Scale (15%)</t>
  </si>
  <si>
    <t>Market too small for competition</t>
  </si>
  <si>
    <t>5=natural monopoly (utilities, defense)</t>
  </si>
  <si>
    <t>Formula</t>
  </si>
  <si>
    <t>SC×0.25 + NE×0.20 + IA×0.25 + CA×0.15 + ES×0.15</t>
  </si>
  <si>
    <t>Range 1-5, higher = stronger moat</t>
  </si>
  <si>
    <t>AI DISRUPTION RISK (5 Dimensions)</t>
  </si>
  <si>
    <t>Labor Substitution (25%)</t>
  </si>
  <si>
    <t>Can AI replace the workforce?</t>
  </si>
  <si>
    <t>5=highly substitutable (call centers, data entry)</t>
  </si>
  <si>
    <t>Disintermediation (25%)</t>
  </si>
  <si>
    <t>Can AI bypass the company?</t>
  </si>
  <si>
    <t>5=easily bypassed (travel agents, brokers)</t>
  </si>
  <si>
    <t>Data Moat Erosion (15%)</t>
  </si>
  <si>
    <t>Can AI commoditize data?</t>
  </si>
  <si>
    <t>5=data becoming commodity</t>
  </si>
  <si>
    <t>AI-Native Competition (20%)</t>
  </si>
  <si>
    <t>AI-first startups attacking?</t>
  </si>
  <si>
    <t>5=intense AI-native competition</t>
  </si>
  <si>
    <t>Commodity Intelligence (15%)</t>
  </si>
  <si>
    <t>Can generic AI replicate it?</t>
  </si>
  <si>
    <t>5=easily replicated by LLMs</t>
  </si>
  <si>
    <t>LS×0.25 + VCD×0.25 + DME×0.15 + ANC×0.20 + CIR×0.15</t>
  </si>
  <si>
    <t>Range 1-5, higher = more risk</t>
  </si>
  <si>
    <t>WESTWOOD RESEARCH BM RISK</t>
  </si>
  <si>
    <t>5. Judgment Moat</t>
  </si>
  <si>
    <t>Highest durability</t>
  </si>
  <si>
    <t>Domain expertise AI cannot replicate (surgery, M&amp;A)</t>
  </si>
  <si>
    <t>4. Action Moat</t>
  </si>
  <si>
    <t>High durability</t>
  </si>
  <si>
    <t>Complex real-world actions (manufacturing, logistics)</t>
  </si>
  <si>
    <t>3. Metadata Moat</t>
  </si>
  <si>
    <t>Medium durability</t>
  </si>
  <si>
    <t>Proprietary data context layers (Bloomberg, Palantir)</t>
  </si>
  <si>
    <t>2. Speed Moat</t>
  </si>
  <si>
    <t>Low durability</t>
  </si>
  <si>
    <t>Only first-mover advantage, AI enables fast-followers</t>
  </si>
  <si>
    <t>1. No Durable Moat</t>
  </si>
  <si>
    <t>No durability</t>
  </si>
  <si>
    <t>AI replicates core value in months</t>
  </si>
  <si>
    <t>SoR | SoA | Judgment | Physical/Reg | Hybrid</t>
  </si>
  <si>
    <t>Role in customer workflow</t>
  </si>
  <si>
    <t>Buy vs Build (1-5)</t>
  </si>
  <si>
    <t>How easily could customer build with AI?</t>
  </si>
  <si>
    <t>5=trivial to rebuild</t>
  </si>
  <si>
    <t>JTBD Density (1-5)</t>
  </si>
  <si>
    <t>How many jobs-to-be-done served?</t>
  </si>
  <si>
    <t>Higher = harder to displace</t>
  </si>
  <si>
    <t>Decay Rate</t>
  </si>
  <si>
    <t>Months | 1-2yr | 3-5yr | 5-10yr | 10+yr</t>
  </si>
  <si>
    <t>Speed of AI erosion</t>
  </si>
  <si>
    <t>Composite</t>
  </si>
  <si>
    <t>WR_Tier×0.4 + BvB×0.3 + (6-JTBD)×0.3</t>
  </si>
  <si>
    <t>Range 0-5</t>
  </si>
  <si>
    <t>VALUATION</t>
  </si>
  <si>
    <t>Moat - AI Risk - BM_Risk×0.3</t>
  </si>
  <si>
    <t>Positive = moat dominates</t>
  </si>
  <si>
    <t>CRITICAL≤-2 | HIGH | MEDIUM | LOW-MED | LOW&gt;1.5</t>
  </si>
  <si>
    <t>Risk classification</t>
  </si>
  <si>
    <t>CAP (Mauboussin)</t>
  </si>
  <si>
    <t>4-22 years based on moat score</t>
  </si>
  <si>
    <t>AI erosion: -15%/pt above 1.5</t>
  </si>
  <si>
    <t>WACC Premium</t>
  </si>
  <si>
    <t>0-400bp added to base WACC</t>
  </si>
  <si>
    <t>AI uncertainty surcharge</t>
  </si>
  <si>
    <t>Justified P/E</t>
  </si>
  <si>
    <t>Damodaran DCF: f(WACC, growth, CAP)</t>
  </si>
  <si>
    <t>AI-Adj uses higher WACC + shorter CAP</t>
  </si>
  <si>
    <t>Haircut</t>
  </si>
  <si>
    <t>(Base_PE - Adj_PE) / Base_PE × 100</t>
  </si>
  <si>
    <t>% of value at risk</t>
  </si>
  <si>
    <t>HOW TO USE</t>
  </si>
  <si>
    <t>Step 1</t>
  </si>
  <si>
    <t>Open on Bloomberg Terminal</t>
  </si>
  <si>
    <t>Bloomberg add-in must be enabled</t>
  </si>
  <si>
    <t>Step 2</t>
  </si>
  <si>
    <t>Enter tickers in Portfolio Input col A</t>
  </si>
  <si>
    <t>Bloomberg auto-fills all financials</t>
  </si>
  <si>
    <t>Step 3</t>
  </si>
  <si>
    <t>Score in Moat Scoring tab (blue cells)</t>
  </si>
  <si>
    <t>1-5 for each moat and AI risk dimension</t>
  </si>
  <si>
    <t>Step 4</t>
  </si>
  <si>
    <t>Score in Business Model Risk tab</t>
  </si>
  <si>
    <t>System type, WR tier, decay rate, etc.</t>
  </si>
  <si>
    <t>Step 5</t>
  </si>
  <si>
    <t>Review Portfolio Dashboard</t>
  </si>
  <si>
    <t>Auto-calculates. Sort by Net Moat for risk</t>
  </si>
  <si>
    <t>NOTE: Claude Add-in</t>
  </si>
  <si>
    <t>NOT connected to this workbook</t>
  </si>
  <si>
    <t>Use Claude to research, but enter scores manually in blue cells</t>
  </si>
  <si>
    <t>NOTE: Web App</t>
  </si>
  <si>
    <t>moat_westwood.html does auto-scoring</t>
  </si>
  <si>
    <t>Uses AI API to score companies automatically</t>
  </si>
  <si>
    <t>AUTO-POPULATE BEHAVIOR</t>
  </si>
  <si>
    <t>Moat Scoring auto-fills</t>
  </si>
  <si>
    <t>When you add a ticker in Portfolio Input, Bloomberg fills the GICS Sector</t>
  </si>
  <si>
    <t>Moat Scoring cols B-F and H-L auto-populate via VLOOKUP from Sector Analysis defaults</t>
  </si>
  <si>
    <t>Override anytime</t>
  </si>
  <si>
    <t>Simply type over any auto-populated cell</t>
  </si>
  <si>
    <t>Your manual value replaces the VLOOKUP formula. This is by design.</t>
  </si>
  <si>
    <t>Business Model Risk</t>
  </si>
  <si>
    <t>Does NOT auto-populate — requires manual research</t>
  </si>
  <si>
    <t>System type, WR tier, decay rate are company-specific. Use webapp for AI-assisted scoring.</t>
  </si>
  <si>
    <t>Restore defaults</t>
  </si>
  <si>
    <t>Delete cell contents and re-enter the VLOOKUP formula</t>
  </si>
  <si>
    <t>Or just leave it — sector defaults are a reasonable starting point.</t>
  </si>
  <si>
    <t>Sector Analysis tab</t>
  </si>
  <si>
    <t>Editable sector-level scores that drive the VLOOKUPs</t>
  </si>
  <si>
    <t>Change a sector score here → all tickers in that sector auto-update (unless manually overridden)</t>
  </si>
  <si>
    <t>Bloomberg Excel API — Setup &amp; Formula Reference</t>
  </si>
  <si>
    <t>Open workbook on Bloomberg Terminal machine</t>
  </si>
  <si>
    <t>Bloomberg tab → Enable Bloomberg Add-in</t>
  </si>
  <si>
    <t>Score moat/AI risk in Moat Scoring (blue cells)</t>
  </si>
  <si>
    <t>Score BM risk in Business Model Risk (blue cells)</t>
  </si>
  <si>
    <t>Step 6</t>
  </si>
  <si>
    <t>Review Portfolio Dashboard — all auto-calculates</t>
  </si>
  <si>
    <t>BDP Syntax</t>
  </si>
  <si>
    <t>BQL Syntax</t>
  </si>
  <si>
    <t>Key Fields</t>
  </si>
  <si>
    <t>PX_LAST, CUR_MKT_CAP, BETA_RAW_OVERRIDABLE, BEST_PE_RATIO, RETURN_ON_INV_CAPITAL</t>
  </si>
  <si>
    <t>RETURN_COM_EQY, GROSS_MARGIN, OPER_MARGIN, NET_INCOME_MARGIN, FREE_CASH_FLOW_YIELD</t>
  </si>
  <si>
    <t>Troubleshoot</t>
  </si>
  <si>
    <t>If #NAME?: Bloomberg add-in not loaded. File → Options → Add-ins → COM Add-ins</t>
  </si>
  <si>
    <t>Refresh</t>
  </si>
  <si>
    <t>Ctrl+Shift+R refreshes all Bloomberg formulas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</si>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</sst>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326295"/>
      <name val="Arial"/>
      <family val="2"/>
    </font>
    <font>
      <i/>
      <sz val="9"/>
      <color rgb="FF97999B"/>
      <name val="Arial"/>
      <family val="2"/>
    </font>
    <font>
      <b/>
      <sz val="9"/>
      <color rgb="FFE57200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2"/>
      <color rgb="FF326295"/>
      <name val="Arial"/>
      <family val="2"/>
    </font>
    <font>
      <sz val="10"/>
      <color rgb="FF63666A"/>
      <name val="Arial"/>
      <family val="2"/>
    </font>
    <font>
      <b/>
      <sz val="10"/>
      <color rgb="FF326295"/>
      <name val="Arial"/>
      <family val="2"/>
    </font>
    <font>
      <sz val="9"/>
      <color rgb="FF97999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26295"/>
        <bgColor rgb="FF63666A"/>
      </patternFill>
    </fill>
    <fill>
      <patternFill patternType="solid">
        <fgColor rgb="FFDBEEF4"/>
        <bgColor rgb="FFE8F0FE"/>
      </patternFill>
    </fill>
    <fill>
      <patternFill patternType="solid">
        <fgColor rgb="FFE8F0FE"/>
        <bgColor rgb="FFDBEEF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26295"/>
      </bottom>
      <diagonal/>
    </border>
    <border>
      <left/>
      <right/>
      <top/>
      <bottom style="thin">
        <color rgb="FFB1B3B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6" fillId="0" borderId="2" xfId="0" applyFont="1" applyBorder="1" applyAlignment="1">
      <alignment horizontal="center"/>
    </xf>
    <xf numFmtId="0" fontId="7" fillId="0" borderId="0" xfId="0" applyFont="1"/>
    <xf numFmtId="0" fontId="6" fillId="4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 wrapText="1"/>
    </xf>
    <xf numFmtId="0" fontId="8" fillId="0" borderId="0" xfId="0" applyFont="1"/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0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1B3B3"/>
      <rgbColor rgb="FF808080"/>
      <rgbColor rgb="FF9999FF"/>
      <rgbColor rgb="FF993366"/>
      <rgbColor rgb="FFFFFFCC"/>
      <rgbColor rgb="FFDBEEF4"/>
      <rgbColor rgb="FF660066"/>
      <rgbColor rgb="FFFF8080"/>
      <rgbColor rgb="FF32629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8BBEE8"/>
      <rgbColor rgb="FFFF99CC"/>
      <rgbColor rgb="FFCC99FF"/>
      <rgbColor rgb="FFB3D57D"/>
      <rgbColor rgb="FF3366FF"/>
      <rgbColor rgb="FF33CCCC"/>
      <rgbColor rgb="FF99CC00"/>
      <rgbColor rgb="FFFFCC00"/>
      <rgbColor rgb="FFFF9900"/>
      <rgbColor rgb="FFE57200"/>
      <rgbColor rgb="FF63666A"/>
      <rgbColor rgb="FF97999B"/>
      <rgbColor rgb="FF003366"/>
      <rgbColor rgb="FF43B02A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BDP|12046021592567008684</stp>
        <tr r="R12" s="1"/>
      </tp>
      <tp t="s">
        <v>#N/A N/A</v>
        <stp/>
        <stp>BDP|13580331290752889135</stp>
        <tr r="I16" s="1"/>
      </tp>
      <tp t="s">
        <v>#N/A N/A</v>
        <stp/>
        <stp>BDP|16377604867999232590</stp>
        <tr r="C5" s="1"/>
      </tp>
      <tp t="s">
        <v>#N/A N/A</v>
        <stp/>
        <stp>BDP|10995239685303941377</stp>
        <tr r="T22" s="1"/>
      </tp>
      <tp t="s">
        <v>#N/A N/A</v>
        <stp/>
        <stp>BDP|14419548506239240247</stp>
        <tr r="R18" s="1"/>
      </tp>
      <tp t="s">
        <v>#N/A N/A</v>
        <stp/>
        <stp>BDP|14323987019014169218</stp>
        <tr r="I6" s="1"/>
      </tp>
      <tp t="s">
        <v>#N/A N/A</v>
        <stp/>
        <stp>BDP|10555496879628206129</stp>
        <tr r="M24" s="1"/>
      </tp>
      <tp t="s">
        <v>#N/A N/A</v>
        <stp/>
        <stp>BDP|12585273593924713700</stp>
        <tr r="Q24" s="1"/>
      </tp>
      <tp t="s">
        <v>#N/A N/A</v>
        <stp/>
        <stp>BDP|18321236960922861518</stp>
        <tr r="J22" s="1"/>
      </tp>
      <tp t="s">
        <v>#N/A N/A</v>
        <stp/>
        <stp>BDP|13704374107729886233</stp>
        <tr r="F20" s="1"/>
      </tp>
      <tp t="s">
        <v>#N/A N/A</v>
        <stp/>
        <stp>BDP|12385887437865983792</stp>
        <tr r="K23" s="1"/>
      </tp>
      <tp t="s">
        <v>#N/A N/A</v>
        <stp/>
        <stp>BDP|14368087931305309976</stp>
        <tr r="P9" s="1"/>
      </tp>
      <tp t="s">
        <v>#N/A N/A</v>
        <stp/>
        <stp>BDP|16777990630887766089</stp>
        <tr r="S10" s="1"/>
      </tp>
      <tp t="s">
        <v>#N/A N/A</v>
        <stp/>
        <stp>BDP|12900093082340582154</stp>
        <tr r="G13" s="1"/>
      </tp>
      <tp t="s">
        <v>#N/A N/A</v>
        <stp/>
        <stp>BDP|13795049087212411276</stp>
        <tr r="R25" s="1"/>
      </tp>
      <tp t="s">
        <v>#N/A N/A</v>
        <stp/>
        <stp>BDP|13761788688290686777</stp>
        <tr r="C10" s="1"/>
      </tp>
      <tp t="s">
        <v>#N/A N/A</v>
        <stp/>
        <stp>BDP|11039993987500474825</stp>
        <tr r="M20" s="1"/>
      </tp>
      <tp t="s">
        <v>#N/A N/A</v>
        <stp/>
        <stp>BDP|16711146369271700853</stp>
        <tr r="K15" s="1"/>
      </tp>
      <tp t="s">
        <v>#N/A N/A</v>
        <stp/>
        <stp>BDP|17768817838050435417</stp>
        <tr r="Q19" s="1"/>
      </tp>
      <tp t="s">
        <v>#N/A N/A</v>
        <stp/>
        <stp>BDP|17168841474795853547</stp>
        <tr r="N15" s="1"/>
      </tp>
      <tp t="s">
        <v>#N/A N/A</v>
        <stp/>
        <stp>BDP|11103257064735991856</stp>
        <tr r="Q15" s="1"/>
      </tp>
      <tp t="s">
        <v>#N/A N/A</v>
        <stp/>
        <stp>BDP|15214504002679170114</stp>
        <tr r="M14" s="1"/>
      </tp>
      <tp t="s">
        <v>#N/A N/A</v>
        <stp/>
        <stp>BDP|16047950980447531851</stp>
        <tr r="G12" s="1"/>
      </tp>
      <tp t="s">
        <v>#N/A N/A</v>
        <stp/>
        <stp>BDP|13013378146565084943</stp>
        <tr r="E25" s="1"/>
      </tp>
      <tp t="s">
        <v>#N/A N/A</v>
        <stp/>
        <stp>BDP|10610182458685497961</stp>
        <tr r="P7" s="1"/>
      </tp>
      <tp t="s">
        <v>#N/A N/A</v>
        <stp/>
        <stp>BDP|17630595742916590918</stp>
        <tr r="K5" s="1"/>
      </tp>
      <tp t="s">
        <v>#N/A N/A</v>
        <stp/>
        <stp>BDP|16992252269669402294</stp>
        <tr r="E24" s="1"/>
      </tp>
      <tp t="s">
        <v>#N/A N/A</v>
        <stp/>
        <stp>BDP|12108483257148209201</stp>
        <tr r="P20" s="1"/>
      </tp>
      <tp t="s">
        <v>#N/A N/A</v>
        <stp/>
        <stp>BDP|10855503493520401502</stp>
        <tr r="P25" s="1"/>
      </tp>
      <tp t="s">
        <v>#N/A N/A</v>
        <stp/>
        <stp>BDP|13564544780217768093</stp>
        <tr r="E6" s="1"/>
      </tp>
      <tp t="s">
        <v>#N/A N/A</v>
        <stp/>
        <stp>BDP|13425445187232886411</stp>
        <tr r="L14" s="1"/>
      </tp>
      <tp t="s">
        <v>#N/A N/A</v>
        <stp/>
        <stp>BDP|18146267282559110258</stp>
        <tr r="E13" s="1"/>
      </tp>
      <tp t="s">
        <v>#N/A N/A</v>
        <stp/>
        <stp>BDP|14769614024749375003</stp>
        <tr r="K21" s="1"/>
      </tp>
      <tp t="s">
        <v>#N/A N/A</v>
        <stp/>
        <stp>BDP|13131090788927229527</stp>
        <tr r="J8" s="1"/>
      </tp>
      <tp t="s">
        <v>#N/A N/A</v>
        <stp/>
        <stp>BDP|15549422381651154178</stp>
        <tr r="F16" s="1"/>
      </tp>
      <tp t="s">
        <v>#N/A N/A</v>
        <stp/>
        <stp>BDP|12206278193241532105</stp>
        <tr r="T24" s="1"/>
      </tp>
      <tp t="s">
        <v>#N/A N/A</v>
        <stp/>
        <stp>BDP|12597814163574359118</stp>
        <tr r="C20" s="1"/>
      </tp>
      <tp t="s">
        <v>#N/A N/A</v>
        <stp/>
        <stp>BDP|10186851124213055074</stp>
        <tr r="B17" s="1"/>
      </tp>
      <tp t="s">
        <v>#N/A N/A</v>
        <stp/>
        <stp>BDP|16853114636139955400</stp>
        <tr r="D19" s="1"/>
      </tp>
      <tp t="s">
        <v>#N/A N/A</v>
        <stp/>
        <stp>BDP|16800160242844549902</stp>
        <tr r="G18" s="1"/>
      </tp>
      <tp t="s">
        <v>#N/A N/A</v>
        <stp/>
        <stp>BDP|13937350318018887743</stp>
        <tr r="Q11" s="1"/>
      </tp>
      <tp t="s">
        <v>#N/A N/A</v>
        <stp/>
        <stp>BDP|15197394292897634644</stp>
        <tr r="F23" s="1"/>
      </tp>
      <tp t="s">
        <v>#N/A N/A</v>
        <stp/>
        <stp>BDP|12705805175935069696</stp>
        <tr r="R14" s="1"/>
      </tp>
      <tp t="s">
        <v>#N/A N/A</v>
        <stp/>
        <stp>BDP|18007132920587031286</stp>
        <tr r="S19" s="1"/>
      </tp>
      <tp t="s">
        <v>#N/A N/A</v>
        <stp/>
        <stp>BDP|15251850656782225481</stp>
        <tr r="Q5" s="1"/>
      </tp>
      <tp t="s">
        <v>#N/A N/A</v>
        <stp/>
        <stp>BDP|13440518432482127974</stp>
        <tr r="N14" s="1"/>
      </tp>
      <tp t="s">
        <v>#N/A N/A</v>
        <stp/>
        <stp>BDP|10089754582615212446</stp>
        <tr r="Q7" s="1"/>
      </tp>
      <tp t="s">
        <v>#N/A N/A</v>
        <stp/>
        <stp>BDP|14674853407655602691</stp>
        <tr r="D12" s="1"/>
      </tp>
      <tp t="s">
        <v>#N/A N/A</v>
        <stp/>
        <stp>BDP|15755264584427734783</stp>
        <tr r="F15" s="1"/>
      </tp>
      <tp t="s">
        <v>#N/A N/A</v>
        <stp/>
        <stp>BDP|13354818763846811448</stp>
        <tr r="T20" s="1"/>
      </tp>
      <tp t="s">
        <v>#N/A N/A</v>
        <stp/>
        <stp>BDP|17047164895751689196</stp>
        <tr r="E16" s="1"/>
      </tp>
      <tp t="s">
        <v>#N/A N/A</v>
        <stp/>
        <stp>BDP|11367995341747051450</stp>
        <tr r="L5" s="1"/>
      </tp>
      <tp t="s">
        <v>#N/A N/A</v>
        <stp/>
        <stp>BDP|17010582718828314425</stp>
        <tr r="R19" s="1"/>
      </tp>
      <tp t="s">
        <v>#N/A N/A</v>
        <stp/>
        <stp>BDP|13801980154108476818</stp>
        <tr r="B11" s="1"/>
      </tp>
      <tp t="s">
        <v>#N/A N/A</v>
        <stp/>
        <stp>BDP|13592086386833340790</stp>
        <tr r="Q13" s="1"/>
      </tp>
      <tp t="s">
        <v>#N/A N/A</v>
        <stp/>
        <stp>BDP|16252580780921264586</stp>
        <tr r="E17" s="1"/>
      </tp>
      <tp t="s">
        <v>#N/A N/A</v>
        <stp/>
        <stp>BDP|16010132050829261427</stp>
        <tr r="C19" s="1"/>
      </tp>
      <tp t="s">
        <v>#N/A N/A</v>
        <stp/>
        <stp>BDP|16378550306394171820</stp>
        <tr r="I13" s="1"/>
      </tp>
      <tp t="s">
        <v>#N/A N/A</v>
        <stp/>
        <stp>BDP|15374004145346702864</stp>
        <tr r="O13" s="1"/>
      </tp>
      <tp t="s">
        <v>#N/A N/A</v>
        <stp/>
        <stp>BDP|14096622443882978819</stp>
        <tr r="G19" s="1"/>
      </tp>
      <tp t="s">
        <v>#N/A N/A</v>
        <stp/>
        <stp>BDP|11788143599327064232</stp>
        <tr r="C7" s="1"/>
      </tp>
      <tp t="s">
        <v>#N/A N/A</v>
        <stp/>
        <stp>BDP|12959641352839665417</stp>
        <tr r="M18" s="1"/>
      </tp>
      <tp t="s">
        <v>#N/A N/A</v>
        <stp/>
        <stp>BDP|13216553528359748127</stp>
        <tr r="B19" s="1"/>
      </tp>
      <tp t="s">
        <v>#N/A N/A</v>
        <stp/>
        <stp>BDP|13796978088049758732</stp>
        <tr r="K19" s="1"/>
      </tp>
      <tp t="s">
        <v>#N/A N/A</v>
        <stp/>
        <stp>BDP|15219689911369521701</stp>
        <tr r="P8" s="1"/>
      </tp>
      <tp t="s">
        <v>#N/A N/A</v>
        <stp/>
        <stp>BDP|17047258252855980904</stp>
        <tr r="C11" s="1"/>
      </tp>
      <tp t="s">
        <v>#N/A N/A</v>
        <stp/>
        <stp>BDP|17562197515653409839</stp>
        <tr r="G5" s="1"/>
      </tp>
      <tp t="s">
        <v>#N/A N/A</v>
        <stp/>
        <stp>BDP|15700156027143863933</stp>
        <tr r="C9" s="1"/>
      </tp>
      <tp t="s">
        <v>#N/A N/A</v>
        <stp/>
        <stp>BDP|16719176417398387256</stp>
        <tr r="H11" s="1"/>
      </tp>
      <tp t="s">
        <v>#N/A N/A</v>
        <stp/>
        <stp>BDP|17099511011027901885</stp>
        <tr r="T11" s="1"/>
      </tp>
      <tp t="s">
        <v>#N/A N/A</v>
        <stp/>
        <stp>BDP|10335386166110866916</stp>
        <tr r="C8" s="1"/>
      </tp>
      <tp t="s">
        <v>#N/A N/A</v>
        <stp/>
        <stp>BDP|14100344024770052880</stp>
        <tr r="F25" s="1"/>
      </tp>
      <tp t="s">
        <v>#N/A N/A</v>
        <stp/>
        <stp>BDP|17292066736378422191</stp>
        <tr r="G16" s="1"/>
      </tp>
      <tp t="s">
        <v>#N/A N/A</v>
        <stp/>
        <stp>BDP|16613048799783913120</stp>
        <tr r="S14" s="1"/>
      </tp>
      <tp t="s">
        <v>#N/A N/A</v>
        <stp/>
        <stp>BDP|10236435499764278498</stp>
        <tr r="D9" s="1"/>
      </tp>
      <tp t="s">
        <v>#N/A N/A</v>
        <stp/>
        <stp>BDP|16316387059695108815</stp>
        <tr r="I19" s="1"/>
      </tp>
      <tp t="s">
        <v>#N/A N/A</v>
        <stp/>
        <stp>BDP|12037442605223582808</stp>
        <tr r="H16" s="1"/>
      </tp>
      <tp t="s">
        <v>#N/A N/A</v>
        <stp/>
        <stp>BDP|12477924754332699132</stp>
        <tr r="N7" s="1"/>
      </tp>
      <tp t="s">
        <v>#N/A N/A</v>
        <stp/>
        <stp>BDP|12055430695071472350</stp>
        <tr r="N23" s="1"/>
      </tp>
      <tp t="s">
        <v>#N/A N/A</v>
        <stp/>
        <stp>BDP|16209945828432022293</stp>
        <tr r="I20" s="1"/>
      </tp>
      <tp t="s">
        <v>#N/A N/A</v>
        <stp/>
        <stp>BDP|18168780317815139960</stp>
        <tr r="M12" s="1"/>
      </tp>
      <tp t="s">
        <v>#N/A N/A</v>
        <stp/>
        <stp>BDP|17842787252640361780</stp>
        <tr r="T13" s="1"/>
      </tp>
      <tp t="s">
        <v>#N/A N/A</v>
        <stp/>
        <stp>BDP|17652666066342898734</stp>
        <tr r="F22" s="1"/>
      </tp>
      <tp t="s">
        <v>#N/A N/A</v>
        <stp/>
        <stp>BDP|11189068261986959339</stp>
        <tr r="S13" s="1"/>
      </tp>
      <tp t="s">
        <v>#N/A N/A</v>
        <stp/>
        <stp>BDP|12332635105581113750</stp>
        <tr r="S15" s="1"/>
      </tp>
      <tp t="s">
        <v>#N/A N/A</v>
        <stp/>
        <stp>BDP|12740829021479630323</stp>
        <tr r="O11" s="1"/>
      </tp>
      <tp t="s">
        <v>#N/A N/A</v>
        <stp/>
        <stp>BDP|15470407503353344048</stp>
        <tr r="I24" s="1"/>
      </tp>
      <tp t="s">
        <v>#N/A N/A</v>
        <stp/>
        <stp>BDP|12435534541837375654</stp>
        <tr r="O6" s="1"/>
      </tp>
      <tp t="s">
        <v>#N/A N/A</v>
        <stp/>
        <stp>BDP|15921507259993598470</stp>
        <tr r="L18" s="1"/>
      </tp>
      <tp t="s">
        <v>#N/A N/A</v>
        <stp/>
        <stp>BDP|13064214017640427261</stp>
        <tr r="L16" s="1"/>
      </tp>
      <tp t="s">
        <v>#N/A N/A</v>
        <stp/>
        <stp>BDP|15328133724561907591</stp>
        <tr r="H10" s="1"/>
      </tp>
      <tp t="s">
        <v>#N/A N/A</v>
        <stp/>
        <stp>BDP|17757776530487623609</stp>
        <tr r="S6" s="1"/>
      </tp>
      <tp t="s">
        <v>#N/A N/A</v>
        <stp/>
        <stp>BDP|12490827823809913244</stp>
        <tr r="J10" s="1"/>
      </tp>
      <tp t="s">
        <v>#N/A N/A</v>
        <stp/>
        <stp>BDP|17680469063305130394</stp>
        <tr r="F19" s="1"/>
      </tp>
      <tp t="s">
        <v>#N/A N/A</v>
        <stp/>
        <stp>BDP|11957148419175115784</stp>
        <tr r="L11" s="1"/>
      </tp>
      <tp t="s">
        <v>#N/A N/A</v>
        <stp/>
        <stp>BDP|16124504538776044552</stp>
        <tr r="J24" s="1"/>
      </tp>
      <tp t="s">
        <v>#N/A N/A</v>
        <stp/>
        <stp>BDP|11087707907343118663</stp>
        <tr r="I21" s="1"/>
      </tp>
      <tp t="s">
        <v>#N/A N/A</v>
        <stp/>
        <stp>BDP|14435691213719740992</stp>
        <tr r="P13" s="1"/>
      </tp>
      <tp t="s">
        <v>#N/A N/A</v>
        <stp/>
        <stp>BDP|10772911675879797445</stp>
        <tr r="D11" s="1"/>
      </tp>
      <tp t="s">
        <v>#N/A N/A</v>
        <stp/>
        <stp>BDP|17706911530746724856</stp>
        <tr r="T12" s="1"/>
      </tp>
      <tp t="s">
        <v>#N/A N/A</v>
        <stp/>
        <stp>BDP|15199267196564208952</stp>
        <tr r="M5" s="1"/>
      </tp>
      <tp t="s">
        <v>#N/A N/A</v>
        <stp/>
        <stp>BDP|13076342992130861972</stp>
        <tr r="K13" s="1"/>
      </tp>
      <tp t="s">
        <v>#N/A N/A</v>
        <stp/>
        <stp>BDP|10641314053823901559</stp>
        <tr r="I11" s="1"/>
      </tp>
      <tp t="s">
        <v>#N/A N/A</v>
        <stp/>
        <stp>BDP|15236029047295614499</stp>
        <tr r="C24" s="1"/>
      </tp>
      <tp t="s">
        <v>#N/A N/A</v>
        <stp/>
        <stp>BDP|12316093929082000293</stp>
        <tr r="M10" s="1"/>
      </tp>
      <tp t="s">
        <v>#N/A N/A</v>
        <stp/>
        <stp>BDP|14129461808621758148</stp>
        <tr r="K12" s="1"/>
      </tp>
      <tp t="s">
        <v>#N/A N/A</v>
        <stp/>
        <stp>BDP|12799172053685944354</stp>
        <tr r="N9" s="1"/>
      </tp>
      <tp t="s">
        <v>#N/A N/A</v>
        <stp/>
        <stp>BDP|14983383583776407985</stp>
        <tr r="F18" s="1"/>
      </tp>
      <tp t="s">
        <v>#N/A N/A</v>
        <stp/>
        <stp>BDP|18421188848788257571</stp>
        <tr r="P6" s="1"/>
      </tp>
      <tp t="s">
        <v>#N/A N/A</v>
        <stp/>
        <stp>BDP|14071342677088653841</stp>
        <tr r="H20" s="1"/>
      </tp>
      <tp t="s">
        <v>#N/A N/A</v>
        <stp/>
        <stp>BDP|16239216251279209813</stp>
        <tr r="I5" s="1"/>
      </tp>
      <tp t="s">
        <v>#N/A N/A</v>
        <stp/>
        <stp>BDP|10046178626116034515</stp>
        <tr r="F5" s="1"/>
      </tp>
      <tp t="s">
        <v>#N/A N/A</v>
        <stp/>
        <stp>BDP|11514865885494125579</stp>
        <tr r="S21" s="1"/>
      </tp>
      <tp t="s">
        <v>#N/A N/A</v>
        <stp/>
        <stp>BDP|11426277506660153378</stp>
        <tr r="J14" s="1"/>
      </tp>
      <tp t="s">
        <v>#N/A N/A</v>
        <stp/>
        <stp>BDP|12122180569296121358</stp>
        <tr r="O7" s="1"/>
      </tp>
      <tp t="s">
        <v>#N/A N/A</v>
        <stp/>
        <stp>BDP|11016701665808891895</stp>
        <tr r="S17" s="1"/>
      </tp>
      <tp t="s">
        <v>#N/A N/A</v>
        <stp/>
        <stp>BDP|13920147387133449993</stp>
        <tr r="L21" s="1"/>
      </tp>
      <tp t="s">
        <v>#N/A N/A</v>
        <stp/>
        <stp>BDP|12631682472697372481</stp>
        <tr r="C13" s="1"/>
      </tp>
      <tp t="s">
        <v>#N/A N/A</v>
        <stp/>
        <stp>BDP|13022536656040071334</stp>
        <tr r="C6" s="1"/>
      </tp>
      <tp t="s">
        <v>#N/A N/A</v>
        <stp/>
        <stp>BDP|11514096961095133355</stp>
        <tr r="N5" s="1"/>
      </tp>
      <tp t="s">
        <v>#N/A N/A</v>
        <stp/>
        <stp>BDP|17884125156723000177</stp>
        <tr r="N19" s="1"/>
      </tp>
      <tp t="s">
        <v>#N/A N/A</v>
        <stp/>
        <stp>BDP|17366434568660014449</stp>
        <tr r="O19" s="1"/>
      </tp>
      <tp t="s">
        <v>#N/A N/A</v>
        <stp/>
        <stp>BDP|15872484247440892419</stp>
        <tr r="F7" s="1"/>
      </tp>
      <tp t="s">
        <v>#N/A N/A</v>
        <stp/>
        <stp>BDP|16138440100514500714</stp>
        <tr r="Q25" s="1"/>
      </tp>
      <tp t="s">
        <v>#N/A N/A</v>
        <stp/>
        <stp>BDP|15352684361500287482</stp>
        <tr r="D23" s="1"/>
      </tp>
      <tp t="s">
        <v>#N/A N/A</v>
        <stp/>
        <stp>BDP|13899793063903623045</stp>
        <tr r="M21" s="1"/>
      </tp>
      <tp t="s">
        <v>#N/A N/A</v>
        <stp/>
        <stp>BDP|11601539253451230173</stp>
        <tr r="N10" s="1"/>
      </tp>
      <tp t="s">
        <v>#N/A N/A</v>
        <stp/>
        <stp>BDP|12163683753564725483</stp>
        <tr r="P16" s="1"/>
      </tp>
      <tp t="s">
        <v>#N/A N/A</v>
        <stp/>
        <stp>BDP|16527111967282784203</stp>
        <tr r="I15" s="1"/>
      </tp>
      <tp t="s">
        <v>#N/A N/A</v>
        <stp/>
        <stp>BDP|18255651891666974087</stp>
        <tr r="R17" s="1"/>
      </tp>
      <tp t="s">
        <v>#N/A N/A</v>
        <stp/>
        <stp>BDP|12275639003323473608</stp>
        <tr r="D8" s="1"/>
      </tp>
      <tp t="s">
        <v>#N/A N/A</v>
        <stp/>
        <stp>BDP|11195398683235456972</stp>
        <tr r="M22" s="1"/>
      </tp>
      <tp t="s">
        <v>#N/A N/A</v>
        <stp/>
        <stp>BDP|17810610527660043550</stp>
        <tr r="R16" s="1"/>
      </tp>
      <tp t="s">
        <v>#N/A N/A</v>
        <stp/>
        <stp>BDP|12406489643011772549</stp>
        <tr r="G10" s="1"/>
      </tp>
      <tp t="s">
        <v>#N/A N/A</v>
        <stp/>
        <stp>BDP|10244398139020726657</stp>
        <tr r="M15" s="1"/>
      </tp>
      <tp t="s">
        <v>#N/A N/A</v>
        <stp/>
        <stp>BDP|12224503034146109448</stp>
        <tr r="K10" s="1"/>
      </tp>
      <tp t="s">
        <v>#N/A N/A</v>
        <stp/>
        <stp>BDP|13662073711317769344</stp>
        <tr r="H22" s="1"/>
      </tp>
      <tp t="s">
        <v>#N/A N/A</v>
        <stp/>
        <stp>BDP|17478019611447178735</stp>
        <tr r="S8" s="1"/>
      </tp>
    </main>
    <main first="bofaddin.rtdserver">
      <tp t="s">
        <v>#N/A N/A</v>
        <stp/>
        <stp>BDP|18109108571561970803</stp>
        <tr r="D17" s="1"/>
      </tp>
      <tp t="s">
        <v>#N/A N/A</v>
        <stp/>
        <stp>BDP|13473466817557196696</stp>
        <tr r="Q16" s="1"/>
      </tp>
      <tp t="s">
        <v>#N/A N/A</v>
        <stp/>
        <stp>BDP|11276778548230268528</stp>
        <tr r="Q9" s="1"/>
      </tp>
      <tp t="s">
        <v>#N/A N/A</v>
        <stp/>
        <stp>BDP|16002689196649300716</stp>
        <tr r="R9" s="1"/>
      </tp>
      <tp t="s">
        <v>#N/A N/A</v>
        <stp/>
        <stp>BDP|17881733935650495450</stp>
        <tr r="E14" s="1"/>
      </tp>
      <tp t="s">
        <v>#N/A N/A</v>
        <stp/>
        <stp>BDP|14097343358324713151</stp>
        <tr r="E20" s="1"/>
      </tp>
      <tp t="s">
        <v>#N/A N/A</v>
        <stp/>
        <stp>BDP|16699190364597103142</stp>
        <tr r="N20" s="1"/>
      </tp>
      <tp t="s">
        <v>#N/A N/A</v>
        <stp/>
        <stp>BDP|15200772554338389834</stp>
        <tr r="M7" s="1"/>
      </tp>
      <tp t="s">
        <v>#N/A N/A</v>
        <stp/>
        <stp>BDP|14237083765461662496</stp>
        <tr r="D14" s="1"/>
      </tp>
      <tp t="s">
        <v>#N/A N/A</v>
        <stp/>
        <stp>BDP|16232899664847869840</stp>
        <tr r="F12" s="1"/>
      </tp>
      <tp t="s">
        <v>#N/A N/A</v>
        <stp/>
        <stp>BDP|16520878144444605923</stp>
        <tr r="K9" s="1"/>
      </tp>
      <tp t="s">
        <v>#N/A N/A</v>
        <stp/>
        <stp>BDP|17189239275720353562</stp>
        <tr r="G24" s="1"/>
      </tp>
      <tp t="s">
        <v>#N/A N/A</v>
        <stp/>
        <stp>BDP|14469583587739863748</stp>
        <tr r="I25" s="1"/>
      </tp>
      <tp t="s">
        <v>#N/A N/A</v>
        <stp/>
        <stp>BDP|11670366128877204336</stp>
        <tr r="F13" s="1"/>
      </tp>
      <tp t="s">
        <v>#N/A N/A</v>
        <stp/>
        <stp>BDP|11129583635937715427</stp>
        <tr r="H7" s="1"/>
      </tp>
      <tp t="s">
        <v>#N/A N/A</v>
        <stp/>
        <stp>BDP|17127769372464770791</stp>
        <tr r="E9" s="1"/>
      </tp>
      <tp t="s">
        <v>#N/A N/A</v>
        <stp/>
        <stp>BDP|12793336947231913062</stp>
        <tr r="L23" s="1"/>
      </tp>
      <tp t="s">
        <v>#N/A N/A</v>
        <stp/>
        <stp>BDP|17306682634336315039</stp>
        <tr r="S22" s="1"/>
      </tp>
      <tp t="s">
        <v>#N/A N/A</v>
        <stp/>
        <stp>BDP|10061895844899453168</stp>
        <tr r="R5" s="1"/>
      </tp>
      <tp t="s">
        <v>#N/A N/A</v>
        <stp/>
        <stp>BDP|16206603227880518615</stp>
        <tr r="R15" s="1"/>
      </tp>
      <tp t="s">
        <v>#N/A N/A</v>
        <stp/>
        <stp>BDP|13038113865044600427</stp>
        <tr r="I12" s="1"/>
      </tp>
      <tp t="s">
        <v>#N/A N/A</v>
        <stp/>
        <stp>BDP|15841346768880659415</stp>
        <tr r="P22" s="1"/>
      </tp>
      <tp t="s">
        <v>#N/A N/A</v>
        <stp/>
        <stp>BDP|16996275890318925157</stp>
        <tr r="S11" s="1"/>
      </tp>
      <tp t="s">
        <v>#N/A N/A</v>
        <stp/>
        <stp>BDP|16150330373460751647</stp>
        <tr r="G21" s="1"/>
      </tp>
      <tp t="s">
        <v>#N/A N/A</v>
        <stp/>
        <stp>BDP|17390039036232455205</stp>
        <tr r="T17" s="1"/>
      </tp>
      <tp t="s">
        <v>#N/A N/A</v>
        <stp/>
        <stp>BDP|17281730357791179027</stp>
        <tr r="E19" s="1"/>
      </tp>
      <tp t="s">
        <v>#N/A N/A</v>
        <stp/>
        <stp>BDP|12331464551293130400</stp>
        <tr r="K14" s="1"/>
      </tp>
      <tp t="s">
        <v>#N/A N/A</v>
        <stp/>
        <stp>BDP|15050274376531262544</stp>
        <tr r="H21" s="1"/>
      </tp>
      <tp t="s">
        <v>#N/A N/A</v>
        <stp/>
        <stp>BDP|10165132735250590648</stp>
        <tr r="I9" s="1"/>
      </tp>
      <tp t="s">
        <v>#N/A N/A</v>
        <stp/>
        <stp>BDP|12605435409202263170</stp>
        <tr r="Q22" s="1"/>
      </tp>
      <tp t="s">
        <v>#N/A N/A</v>
        <stp/>
        <stp>BDP|14413342666860692482</stp>
        <tr r="H19" s="1"/>
      </tp>
      <tp t="s">
        <v>#N/A N/A</v>
        <stp/>
        <stp>BDP|12425372807437696393</stp>
        <tr r="G8" s="1"/>
      </tp>
      <tp t="s">
        <v>#N/A N/A</v>
        <stp/>
        <stp>BDP|11375289467781369148</stp>
        <tr r="S7" s="1"/>
      </tp>
      <tp t="s">
        <v>#N/A N/A</v>
        <stp/>
        <stp>BDP|11033501444504908125</stp>
        <tr r="G6" s="1"/>
      </tp>
      <tp t="s">
        <v>#N/A N/A</v>
        <stp/>
        <stp>BDP|10966412301117494633</stp>
        <tr r="G14" s="1"/>
      </tp>
      <tp t="s">
        <v>#N/A N/A</v>
        <stp/>
        <stp>BDP|14672332335199571845</stp>
        <tr r="B8" s="1"/>
      </tp>
      <tp t="s">
        <v>#N/A N/A</v>
        <stp/>
        <stp>BDP|17129791260075225699</stp>
        <tr r="C14" s="1"/>
      </tp>
      <tp t="s">
        <v>#N/A N/A</v>
        <stp/>
        <stp>BDP|14937435218705175165</stp>
        <tr r="D10" s="1"/>
      </tp>
      <tp t="s">
        <v>#N/A N/A</v>
        <stp/>
        <stp>BDP|11570168646107423659</stp>
        <tr r="H15" s="1"/>
      </tp>
      <tp t="s">
        <v>#N/A N/A</v>
        <stp/>
        <stp>BDP|14277113615778773967</stp>
        <tr r="F11" s="1"/>
      </tp>
    </main>
    <main first="bofaddin.rtdserver">
      <tp t="s">
        <v>#N/A N/A</v>
        <stp/>
        <stp>BDP|3601919657601374286</stp>
        <tr r="M16" s="1"/>
      </tp>
      <tp t="s">
        <v>#N/A N/A</v>
        <stp/>
        <stp>BDP|5161696040743854890</stp>
        <tr r="N16" s="1"/>
      </tp>
      <tp t="s">
        <v>#N/A N/A</v>
        <stp/>
        <stp>BDP|2801343027088615732</stp>
        <tr r="K18" s="1"/>
      </tp>
      <tp t="s">
        <v>#N/A N/A</v>
        <stp/>
        <stp>BDP|5192940258865439063</stp>
        <tr r="E11" s="1"/>
      </tp>
      <tp t="s">
        <v>#N/A N/A</v>
        <stp/>
        <stp>BDP|7244087433548970006</stp>
        <tr r="S23" s="1"/>
      </tp>
      <tp t="s">
        <v>#N/A N/A</v>
        <stp/>
        <stp>BDP|3904488564439356403</stp>
        <tr r="D20" s="1"/>
      </tp>
      <tp t="s">
        <v>#N/A N/A</v>
        <stp/>
        <stp>BDP|6049418871648277141</stp>
        <tr r="J15" s="1"/>
      </tp>
      <tp t="s">
        <v>#N/A N/A</v>
        <stp/>
        <stp>BDP|7104669937697240953</stp>
        <tr r="M8" s="1"/>
      </tp>
      <tp t="s">
        <v>#N/A N/A</v>
        <stp/>
        <stp>BDP|7098091473035718992</stp>
        <tr r="L17" s="1"/>
      </tp>
      <tp t="s">
        <v>#N/A N/A</v>
        <stp/>
        <stp>BDP|7381480449823764813</stp>
        <tr r="G15" s="1"/>
      </tp>
      <tp t="s">
        <v>#N/A N/A</v>
        <stp/>
        <stp>BDP|2790829772406352707</stp>
        <tr r="K16" s="1"/>
      </tp>
      <tp t="s">
        <v>#N/A N/A</v>
        <stp/>
        <stp>BDP|6805387866338533765</stp>
        <tr r="D7" s="1"/>
      </tp>
      <tp t="s">
        <v>#N/A N/A</v>
        <stp/>
        <stp>BDP|8952772234464613501</stp>
        <tr r="E21" s="1"/>
      </tp>
      <tp t="s">
        <v>#N/A N/A</v>
        <stp/>
        <stp>BDP|6731742328708880635</stp>
        <tr r="O25" s="1"/>
      </tp>
      <tp t="s">
        <v>#N/A N/A</v>
        <stp/>
        <stp>BDP|7427613464489987383</stp>
        <tr r="P5" s="1"/>
      </tp>
      <tp t="s">
        <v>#N/A N/A</v>
        <stp/>
        <stp>BDP|2184898168469660865</stp>
        <tr r="F6" s="1"/>
      </tp>
      <tp t="s">
        <v>#N/A N/A</v>
        <stp/>
        <stp>BDP|6665051294902474043</stp>
        <tr r="K20" s="1"/>
      </tp>
      <tp t="s">
        <v>#N/A N/A</v>
        <stp/>
        <stp>BDP|8134834033919604722</stp>
        <tr r="L15" s="1"/>
      </tp>
      <tp t="s">
        <v>#N/A N/A</v>
        <stp/>
        <stp>BDP|2276202439839451456</stp>
        <tr r="T7" s="1"/>
      </tp>
      <tp t="s">
        <v>#N/A N/A</v>
        <stp/>
        <stp>BDP|4904962798289642393</stp>
        <tr r="F14" s="1"/>
      </tp>
      <tp t="s">
        <v>#N/A N/A</v>
        <stp/>
        <stp>BDP|4820666195241395415</stp>
        <tr r="G17" s="1"/>
      </tp>
      <tp t="s">
        <v>#N/A N/A</v>
        <stp/>
        <stp>BDP|9387720252614186110</stp>
        <tr r="L24" s="1"/>
      </tp>
      <tp t="s">
        <v>#N/A N/A</v>
        <stp/>
        <stp>BDP|8702303131246244024</stp>
        <tr r="J11" s="1"/>
      </tp>
      <tp t="s">
        <v>#N/A N/A</v>
        <stp/>
        <stp>BDP|2860480987496222628</stp>
        <tr r="F8" s="1"/>
      </tp>
      <tp t="s">
        <v>#N/A N/A</v>
        <stp/>
        <stp>BDP|8424221104314635039</stp>
        <tr r="S5" s="1"/>
      </tp>
      <tp t="s">
        <v>#N/A N/A</v>
        <stp/>
        <stp>BDP|9694101267155067552</stp>
        <tr r="T15" s="1"/>
      </tp>
      <tp t="s">
        <v>#N/A N/A</v>
        <stp/>
        <stp>BDP|1603698798719734948</stp>
        <tr r="L22" s="1"/>
      </tp>
      <tp t="s">
        <v>#N/A N/A</v>
        <stp/>
        <stp>BDP|2702997182974772807</stp>
        <tr r="G25" s="1"/>
      </tp>
      <tp t="s">
        <v>#N/A N/A</v>
        <stp/>
        <stp>BDP|8601675872516053087</stp>
        <tr r="N8" s="1"/>
      </tp>
      <tp t="s">
        <v>#N/A N/A</v>
        <stp/>
        <stp>BDP|1369070736628176582</stp>
        <tr r="S20" s="1"/>
      </tp>
      <tp t="s">
        <v>#N/A N/A</v>
        <stp/>
        <stp>BDP|8560877190953993541</stp>
        <tr r="T19" s="1"/>
      </tp>
      <tp t="s">
        <v>#N/A N/A</v>
        <stp/>
        <stp>BDP|5839824621875180553</stp>
        <tr r="J7" s="1"/>
      </tp>
      <tp t="s">
        <v>#N/A N/A</v>
        <stp/>
        <stp>BDP|2278533327869305376</stp>
        <tr r="J6" s="1"/>
      </tp>
      <tp t="s">
        <v>#N/A N/A</v>
        <stp/>
        <stp>BDP|5390523167458126145</stp>
        <tr r="T8" s="1"/>
      </tp>
      <tp t="s">
        <v>#N/A N/A</v>
        <stp/>
        <stp>BDP|3837364914967085992</stp>
        <tr r="N6" s="1"/>
      </tp>
      <tp t="s">
        <v>#N/A N/A</v>
        <stp/>
        <stp>BDP|4338256394743335314</stp>
        <tr r="L19" s="1"/>
      </tp>
      <tp t="s">
        <v>#N/A N/A</v>
        <stp/>
        <stp>BDP|6014387516572746986</stp>
        <tr r="C18" s="1"/>
      </tp>
      <tp t="s">
        <v>#N/A N/A</v>
        <stp/>
        <stp>BDP|7338435808109974507</stp>
        <tr r="P11" s="1"/>
      </tp>
      <tp t="s">
        <v>#N/A N/A</v>
        <stp/>
        <stp>BDP|2703052314829603567</stp>
        <tr r="L8" s="1"/>
      </tp>
      <tp t="s">
        <v>#N/A N/A</v>
        <stp/>
        <stp>BDP|8775241587394009923</stp>
        <tr r="D25" s="1"/>
      </tp>
      <tp t="s">
        <v>#N/A N/A</v>
        <stp/>
        <stp>BDP|3382983543304471586</stp>
        <tr r="H13" s="1"/>
      </tp>
      <tp t="s">
        <v>#N/A N/A</v>
        <stp/>
        <stp>BDP|9784639753101698452</stp>
        <tr r="P17" s="1"/>
      </tp>
      <tp t="s">
        <v>#N/A N/A</v>
        <stp/>
        <stp>BDP|8475163193876666930</stp>
        <tr r="O18" s="1"/>
      </tp>
      <tp t="s">
        <v>#N/A N/A</v>
        <stp/>
        <stp>BDP|9514167563805024443</stp>
        <tr r="R23" s="1"/>
      </tp>
      <tp t="s">
        <v>#N/A N/A</v>
        <stp/>
        <stp>BDP|7299014484136030631</stp>
        <tr r="P21" s="1"/>
      </tp>
      <tp t="s">
        <v>#N/A N/A</v>
        <stp/>
        <stp>BDP|4629810834988063861</stp>
        <tr r="T9" s="1"/>
      </tp>
      <tp t="s">
        <v>#N/A N/A</v>
        <stp/>
        <stp>BDP|7562714974939493111</stp>
        <tr r="O16" s="1"/>
      </tp>
      <tp t="s">
        <v>#N/A N/A</v>
        <stp/>
        <stp>BDP|2332600584280112481</stp>
        <tr r="E12" s="1"/>
      </tp>
      <tp t="s">
        <v>#N/A N/A</v>
        <stp/>
        <stp>BDP|4112515491150766044</stp>
        <tr r="T25" s="1"/>
      </tp>
      <tp t="s">
        <v>#N/A N/A</v>
        <stp/>
        <stp>BDP|8976546717901857547</stp>
        <tr r="M25" s="1"/>
      </tp>
      <tp t="s">
        <v>#N/A N/A</v>
        <stp/>
        <stp>BDP|2380104095871460342</stp>
        <tr r="O23" s="1"/>
      </tp>
      <tp t="s">
        <v>#N/A N/A</v>
        <stp/>
        <stp>BDP|4277633496406618555</stp>
        <tr r="C21" s="1"/>
      </tp>
      <tp t="s">
        <v>#N/A N/A</v>
        <stp/>
        <stp>BDP|2064447504267204806</stp>
        <tr r="I14" s="1"/>
      </tp>
      <tp t="s">
        <v>#N/A N/A</v>
        <stp/>
        <stp>BDP|6230362233406697902</stp>
        <tr r="R8" s="1"/>
      </tp>
      <tp t="s">
        <v>#N/A N/A</v>
        <stp/>
        <stp>BDP|1421110981024344560</stp>
        <tr r="R21" s="1"/>
      </tp>
      <tp t="s">
        <v>#N/A N/A</v>
        <stp/>
        <stp>BDP|1415540890226126269</stp>
        <tr r="E23" s="1"/>
      </tp>
      <tp t="s">
        <v>#N/A N/A</v>
        <stp/>
        <stp>BDP|7929304165402958926</stp>
        <tr r="N12" s="1"/>
      </tp>
      <tp t="s">
        <v>#N/A N/A</v>
        <stp/>
        <stp>BDP|5664507964504905813</stp>
        <tr r="O8" s="1"/>
      </tp>
      <tp t="s">
        <v>#N/A N/A</v>
        <stp/>
        <stp>BDP|6509853574961840277</stp>
        <tr r="S12" s="1"/>
      </tp>
      <tp t="s">
        <v>#N/A N/A</v>
        <stp/>
        <stp>BDP|5339004388781460661</stp>
        <tr r="J17" s="1"/>
      </tp>
      <tp t="s">
        <v>#N/A N/A</v>
        <stp/>
        <stp>BDP|2380969328994562779</stp>
        <tr r="B23" s="1"/>
      </tp>
      <tp t="s">
        <v>#N/A N/A</v>
        <stp/>
        <stp>BDP|7905058591385281139</stp>
        <tr r="P24" s="1"/>
      </tp>
      <tp t="s">
        <v>#N/A N/A</v>
        <stp/>
        <stp>BDP|3580134903858058091</stp>
        <tr r="H17" s="1"/>
      </tp>
      <tp t="s">
        <v>#N/A N/A</v>
        <stp/>
        <stp>BDP|8186534595768902628</stp>
        <tr r="I23" s="1"/>
      </tp>
      <tp t="s">
        <v>#N/A N/A</v>
        <stp/>
        <stp>BDP|1959385684203153380</stp>
        <tr r="L25" s="1"/>
      </tp>
      <tp t="s">
        <v>#N/A N/A</v>
        <stp/>
        <stp>BDP|4850982110120075631</stp>
        <tr r="M11" s="1"/>
      </tp>
      <tp t="s">
        <v>#N/A N/A</v>
        <stp/>
        <stp>BDP|8435120665386913392</stp>
        <tr r="J5" s="1"/>
      </tp>
      <tp t="s">
        <v>#N/A N/A</v>
        <stp/>
        <stp>BDP|5763266111498656455</stp>
        <tr r="Q23" s="1"/>
      </tp>
      <tp t="s">
        <v>#N/A N/A</v>
        <stp/>
        <stp>BDP|6323913479704367686</stp>
        <tr r="G22" s="1"/>
      </tp>
      <tp t="s">
        <v>#N/A N/A</v>
        <stp/>
        <stp>BDP|8974362210001872163</stp>
        <tr r="G20" s="1"/>
      </tp>
      <tp t="s">
        <v>#N/A N/A</v>
        <stp/>
        <stp>BDP|7510066057231573953</stp>
        <tr r="B18" s="1"/>
      </tp>
      <tp t="s">
        <v>#N/A N/A</v>
        <stp/>
        <stp>BDP|4600329846261715808</stp>
        <tr r="H9" s="1"/>
      </tp>
      <tp t="s">
        <v>#N/A N/A</v>
        <stp/>
        <stp>BDP|3864240793460369291</stp>
        <tr r="O20" s="1"/>
      </tp>
      <tp t="s">
        <v>#N/A N/A</v>
        <stp/>
        <stp>BDP|9172074368862848738</stp>
        <tr r="D6" s="1"/>
      </tp>
      <tp t="s">
        <v>#N/A N/A</v>
        <stp/>
        <stp>BDP|9148725655105266410</stp>
        <tr r="M9" s="1"/>
      </tp>
      <tp t="s">
        <v>#N/A N/A</v>
        <stp/>
        <stp>BDP|2811324936469652014</stp>
        <tr r="O5" s="1"/>
      </tp>
      <tp t="s">
        <v>#N/A N/A</v>
        <stp/>
        <stp>BDP|6336420091053192395</stp>
        <tr r="D5" s="1"/>
      </tp>
      <tp t="s">
        <v>#N/A N/A</v>
        <stp/>
        <stp>BDP|9178441961153460399</stp>
        <tr r="R6" s="1"/>
      </tp>
      <tp t="s">
        <v>#N/A N/A</v>
        <stp/>
        <stp>BDP|8266308178763757444</stp>
        <tr r="E10" s="1"/>
      </tp>
      <tp t="s">
        <v>#N/A N/A</v>
        <stp/>
        <stp>BDP|1158582770381467949</stp>
        <tr r="E15" s="1"/>
      </tp>
      <tp t="s">
        <v>#N/A N/A</v>
        <stp/>
        <stp>BDP|1969584208517051803</stp>
        <tr r="C17" s="1"/>
      </tp>
      <tp t="s">
        <v>#N/A N/A</v>
        <stp/>
        <stp>BDP|2255071417560415891</stp>
        <tr r="T23" s="1"/>
      </tp>
      <tp t="s">
        <v>#N/A N/A</v>
        <stp/>
        <stp>BDP|9234790046664571573</stp>
        <tr r="F9" s="1"/>
      </tp>
      <tp t="s">
        <v>#N/A N/A</v>
        <stp/>
        <stp>BDP|6557653559229420724</stp>
        <tr r="N25" s="1"/>
      </tp>
      <tp t="s">
        <v>#N/A N/A</v>
        <stp/>
        <stp>BDP|9875338150917258357</stp>
        <tr r="Q18" s="1"/>
      </tp>
      <tp t="s">
        <v>#N/A N/A</v>
        <stp/>
        <stp>BDP|9422353822523094015</stp>
        <tr r="T10" s="1"/>
      </tp>
      <tp t="s">
        <v>#N/A N/A</v>
        <stp/>
        <stp>BDP|6407507748644984864</stp>
        <tr r="L6" s="1"/>
      </tp>
      <tp t="s">
        <v>#N/A N/A</v>
        <stp/>
        <stp>BDP|4291232277518425222</stp>
        <tr r="I18" s="1"/>
      </tp>
      <tp t="s">
        <v>#N/A N/A</v>
        <stp/>
        <stp>BDP|5125944342741677205</stp>
        <tr r="N13" s="1"/>
      </tp>
      <tp t="s">
        <v>#N/A N/A</v>
        <stp/>
        <stp>BDP|7237275888961906728</stp>
        <tr r="I7" s="1"/>
      </tp>
      <tp t="s">
        <v>#N/A N/A</v>
        <stp/>
        <stp>BQL|6691143330170490045</stp>
        <tr r="B11" s="8"/>
      </tp>
      <tp t="s">
        <v>#N/A N/A</v>
        <stp/>
        <stp>BDP|8457297537304031900</stp>
        <tr r="M23" s="1"/>
      </tp>
      <tp t="s">
        <v>#N/A N/A</v>
        <stp/>
        <stp>BDP|4281020505096818649</stp>
        <tr r="B12" s="1"/>
      </tp>
      <tp t="s">
        <v>#N/A N/A</v>
        <stp/>
        <stp>BDP|2766853454438816375</stp>
        <tr r="N21" s="1"/>
      </tp>
      <tp t="s">
        <v>#N/A N/A</v>
        <stp/>
        <stp>BDP|1297414100055735498</stp>
        <tr r="F17" s="1"/>
      </tp>
      <tp t="s">
        <v>#N/A N/A</v>
        <stp/>
        <stp>BDP|9176431181770662176</stp>
        <tr r="P14" s="1"/>
      </tp>
      <tp t="s">
        <v>#N/A N/A</v>
        <stp/>
        <stp>BDP|7416751060313929188</stp>
        <tr r="B14" s="1"/>
      </tp>
      <tp t="s">
        <v>#N/A N/A</v>
        <stp/>
        <stp>BDP|6791711916190613460</stp>
        <tr r="Q10" s="1"/>
      </tp>
      <tp t="s">
        <v>#N/A N/A</v>
        <stp/>
        <stp>BDP|2581530364741340416</stp>
        <tr r="O12" s="1"/>
      </tp>
      <tp t="s">
        <v>#N/A N/A</v>
        <stp/>
        <stp>BDP|7509946364668241437</stp>
        <tr r="Q17" s="1"/>
      </tp>
      <tp t="s">
        <v>#N/A N/A</v>
        <stp/>
        <stp>BDP|8504502086968692910</stp>
        <tr r="D13" s="1"/>
      </tp>
      <tp t="s">
        <v>#N/A N/A</v>
        <stp/>
        <stp>BDP|6569097708413606163</stp>
        <tr r="O10" s="1"/>
      </tp>
      <tp t="s">
        <v>#N/A N/A</v>
        <stp/>
        <stp>BDP|6776886791507285567</stp>
        <tr r="F24" s="1"/>
      </tp>
      <tp t="s">
        <v>#N/A N/A</v>
        <stp/>
        <stp>BDP|1967221867036061641</stp>
        <tr r="B16" s="1"/>
      </tp>
      <tp t="s">
        <v>#N/A N/A</v>
        <stp/>
        <stp>BDP|7963951673144000860</stp>
        <tr r="N17" s="1"/>
      </tp>
      <tp t="s">
        <v>#N/A N/A</v>
        <stp/>
        <stp>BDP|3564655300163758395</stp>
        <tr r="I17" s="1"/>
      </tp>
      <tp t="s">
        <v>#N/A N/A</v>
        <stp/>
        <stp>BDP|6907136257711651669</stp>
        <tr r="S9" s="1"/>
      </tp>
      <tp t="s">
        <v>#N/A N/A</v>
        <stp/>
        <stp>BDP|8015831206463295679</stp>
        <tr r="S25" s="1"/>
      </tp>
      <tp t="s">
        <v>#N/A N/A</v>
        <stp/>
        <stp>BDP|2881595535477438616</stp>
        <tr r="O24" s="1"/>
      </tp>
      <tp t="s">
        <v>#N/A N/A</v>
        <stp/>
        <stp>BDP|2088146820726305217</stp>
        <tr r="H24" s="1"/>
      </tp>
      <tp t="s">
        <v>#N/A N/A</v>
        <stp/>
        <stp>BDP|4013521352286793715</stp>
        <tr r="M13" s="1"/>
      </tp>
      <tp t="s">
        <v>#N/A N/A</v>
        <stp/>
        <stp>BDP|9429041084586268204</stp>
        <tr r="I22" s="1"/>
      </tp>
      <tp t="s">
        <v>#N/A N/A</v>
        <stp/>
        <stp>BDP|8775596593962129380</stp>
        <tr r="O15" s="1"/>
      </tp>
      <tp t="s">
        <v>#N/A N/A</v>
        <stp/>
        <stp>BDP|3172297523004848276</stp>
        <tr r="R10" s="1"/>
      </tp>
      <tp t="s">
        <v>#N/A N/A</v>
        <stp/>
        <stp>BDP|3241889152459476176</stp>
        <tr r="J18" s="1"/>
      </tp>
      <tp t="s">
        <v>#N/A N/A</v>
        <stp/>
        <stp>BDP|9920173185580230621</stp>
        <tr r="H14" s="1"/>
      </tp>
      <tp t="s">
        <v>#N/A N/A</v>
        <stp/>
        <stp>BDP|3224413003261047091</stp>
        <tr r="Q8" s="1"/>
      </tp>
      <tp t="s">
        <v>#N/A N/A</v>
        <stp/>
        <stp>BDP|7504267310270720262</stp>
        <tr r="P23" s="1"/>
      </tp>
      <tp t="s">
        <v>#N/A N/A</v>
        <stp/>
        <stp>BDP|3362478797230324804</stp>
        <tr r="J23" s="1"/>
      </tp>
      <tp t="s">
        <v>#N/A N/A</v>
        <stp/>
        <stp>BDP|1704576502004612648</stp>
        <tr r="F21" s="1"/>
      </tp>
      <tp t="s">
        <v>#N/A N/A</v>
        <stp/>
        <stp>BDP|5820734312055963014</stp>
        <tr r="C25" s="1"/>
      </tp>
      <tp t="s">
        <v>#N/A N/A</v>
        <stp/>
        <stp>BDP|9670510066279400536</stp>
        <tr r="L20" s="1"/>
      </tp>
      <tp t="s">
        <v>#N/A N/A</v>
        <stp/>
        <stp>BDP|1075737954752544766</stp>
        <tr r="K11" s="1"/>
      </tp>
      <tp t="s">
        <v>#N/A N/A</v>
        <stp/>
        <stp>BDP|9576803640220263334</stp>
        <tr r="C23" s="1"/>
      </tp>
      <tp t="s">
        <v>#N/A N/A</v>
        <stp/>
        <stp>BDP|5889126725262124344</stp>
        <tr r="K8" s="1"/>
      </tp>
      <tp t="s">
        <v>#N/A N/A</v>
        <stp/>
        <stp>BDP|2382462029573123061</stp>
        <tr r="H23" s="1"/>
      </tp>
      <tp t="s">
        <v>#N/A N/A</v>
        <stp/>
        <stp>BDP|2049786874550997590</stp>
        <tr r="E5" s="1"/>
        <tr r="B10" s="8"/>
      </tp>
      <tp t="s">
        <v>#N/A N/A</v>
        <stp/>
        <stp>BDP|4381643589024075922</stp>
        <tr r="J20" s="1"/>
      </tp>
      <tp t="s">
        <v>#N/A N/A</v>
        <stp/>
        <stp>BDP|8872940870563323232</stp>
        <tr r="K7" s="1"/>
      </tp>
      <tp t="s">
        <v>#N/A N/A</v>
        <stp/>
        <stp>BDP|7467612743187951529</stp>
        <tr r="K17" s="1"/>
      </tp>
      <tp t="s">
        <v>#N/A N/A</v>
        <stp/>
        <stp>BDP|4120754975441497261</stp>
        <tr r="D15" s="1"/>
      </tp>
      <tp t="s">
        <v>#N/A N/A</v>
        <stp/>
        <stp>BDP|6015177406258127833</stp>
        <tr r="E8" s="1"/>
      </tp>
      <tp t="s">
        <v>#N/A N/A</v>
        <stp/>
        <stp>BDP|4885968587326124499</stp>
        <tr r="R13" s="1"/>
      </tp>
      <tp t="s">
        <v>#N/A N/A</v>
        <stp/>
        <stp>BDP|1225658921567048518</stp>
        <tr r="C16" s="1"/>
      </tp>
      <tp t="s">
        <v>#N/A N/A</v>
        <stp/>
        <stp>BDP|3770791436892925268</stp>
        <tr r="R7" s="1"/>
      </tp>
      <tp t="s">
        <v>#N/A N/A</v>
        <stp/>
        <stp>BDP|1696454926850285030</stp>
        <tr r="B13" s="1"/>
      </tp>
      <tp t="s">
        <v>#N/A N/A</v>
        <stp/>
        <stp>BDP|1953363225356803171</stp>
        <tr r="F10" s="1"/>
      </tp>
      <tp t="s">
        <v>#N/A N/A</v>
        <stp/>
        <stp>BDP|8354550533951189812</stp>
        <tr r="Q6" s="1"/>
      </tp>
      <tp t="s">
        <v>#N/A N/A</v>
        <stp/>
        <stp>BDP|8021541604754345990</stp>
        <tr r="T21" s="1"/>
      </tp>
      <tp t="s">
        <v>#N/A N/A</v>
        <stp/>
        <stp>BDP|3424174147663723597</stp>
        <tr r="B22" s="1"/>
      </tp>
      <tp t="s">
        <v>#N/A N/A</v>
        <stp/>
        <stp>BDP|5460274111913075588</stp>
        <tr r="H25" s="1"/>
      </tp>
      <tp t="s">
        <v>#N/A N/A</v>
        <stp/>
        <stp>BDP|1300908831998125382</stp>
        <tr r="N24" s="1"/>
      </tp>
      <tp t="s">
        <v>#N/A N/A</v>
        <stp/>
        <stp>BDP|7803380072937913435</stp>
        <tr r="H12" s="1"/>
      </tp>
      <tp t="s">
        <v>#N/A N/A</v>
        <stp/>
        <stp>BDP|5426094832831056713</stp>
        <tr r="K6" s="1"/>
      </tp>
      <tp t="s">
        <v>#N/A N/A</v>
        <stp/>
        <stp>BDP|3888502557060748374</stp>
        <tr r="B21" s="1"/>
      </tp>
      <tp t="s">
        <v>#N/A N/A</v>
        <stp/>
        <stp>BDP|9145502525886989828</stp>
        <tr r="O21" s="1"/>
      </tp>
      <tp t="s">
        <v>#N/A N/A</v>
        <stp/>
        <stp>BDP|5706663079317010371</stp>
        <tr r="C12" s="1"/>
      </tp>
      <tp t="s">
        <v>#N/A N/A</v>
        <stp/>
        <stp>BDP|3728395234672708122</stp>
        <tr r="K24" s="1"/>
      </tp>
      <tp t="s">
        <v>#N/A N/A</v>
        <stp/>
        <stp>BDP|5759291931313269719</stp>
        <tr r="B15" s="1"/>
      </tp>
      <tp t="s">
        <v>#N/A N/A</v>
        <stp/>
        <stp>BDP|8327778371590653806</stp>
        <tr r="T6" s="1"/>
      </tp>
      <tp t="s">
        <v>#N/A N/A</v>
        <stp/>
        <stp>BDP|2132228378491096689</stp>
        <tr r="P12" s="1"/>
      </tp>
      <tp t="s">
        <v>#N/A N/A</v>
        <stp/>
        <stp>BDP|8377860669135768386</stp>
        <tr r="T5" s="1"/>
      </tp>
      <tp t="s">
        <v>#N/A N/A</v>
        <stp/>
        <stp>BDP|4616469637394123764</stp>
        <tr r="J21" s="1"/>
      </tp>
      <tp t="s">
        <v>#N/A N/A</v>
        <stp/>
        <stp>BDP|3634592256004153794</stp>
        <tr r="D18" s="1"/>
      </tp>
      <tp t="s">
        <v>#N/A N/A</v>
        <stp/>
        <stp>BDP|7501368909357184206</stp>
        <tr r="P15" s="1"/>
      </tp>
      <tp t="s">
        <v>#N/A N/A</v>
        <stp/>
        <stp>BDP|4398905680581896528</stp>
        <tr r="H18" s="1"/>
      </tp>
      <tp t="s">
        <v>#N/A N/A</v>
        <stp/>
        <stp>BDP|1950448343609088977</stp>
        <tr r="Q12" s="1"/>
      </tp>
      <tp t="s">
        <v>#N/A N/A</v>
        <stp/>
        <stp>BDP|7056383775422081035</stp>
        <tr r="L9" s="1"/>
      </tp>
      <tp t="s">
        <v>#N/A N/A</v>
        <stp/>
        <stp>BDP|4891040164562433128</stp>
        <tr r="L10" s="1"/>
      </tp>
      <tp t="s">
        <v>#N/A N/A</v>
        <stp/>
        <stp>BDP|2677937506613955969</stp>
        <tr r="Q14" s="1"/>
      </tp>
      <tp t="s">
        <v>#N/A N/A</v>
        <stp/>
        <stp>BDP|7442099695539007642</stp>
        <tr r="B20" s="1"/>
      </tp>
      <tp t="s">
        <v>#N/A N/A</v>
        <stp/>
        <stp>BDP|9780377390371814342</stp>
        <tr r="K25" s="1"/>
      </tp>
      <tp t="s">
        <v>#N/A N/A</v>
        <stp/>
        <stp>BDP|2261703833454886357</stp>
        <tr r="O17" s="1"/>
      </tp>
      <tp t="s">
        <v>#N/A N/A</v>
        <stp/>
        <stp>BDP|9558983406973290249</stp>
        <tr r="M19" s="1"/>
      </tp>
      <tp t="s">
        <v>#N/A N/A</v>
        <stp/>
        <stp>BDP|2880086097628403232</stp>
        <tr r="B24" s="1"/>
      </tp>
      <tp t="s">
        <v>#N/A N/A</v>
        <stp/>
        <stp>BDP|9025365286637294429</stp>
        <tr r="P19" s="1"/>
      </tp>
      <tp t="s">
        <v>#N/A N/A</v>
        <stp/>
        <stp>BDP|4161874094934318062</stp>
        <tr r="G11" s="1"/>
      </tp>
      <tp t="s">
        <v>#N/A N/A</v>
        <stp/>
        <stp>BDP|5378018664922345028</stp>
        <tr r="B9" s="1"/>
      </tp>
      <tp t="s">
        <v>#N/A N/A</v>
        <stp/>
        <stp>BDP|5003673439196852731</stp>
        <tr r="M17" s="1"/>
      </tp>
      <tp t="s">
        <v>#N/A N/A</v>
        <stp/>
        <stp>BDP|5898407424838411931</stp>
        <tr r="J9" s="1"/>
      </tp>
      <tp t="s">
        <v>#N/A N/A</v>
        <stp/>
        <stp>BDP|1363588847546485416</stp>
        <tr r="T18" s="1"/>
      </tp>
      <tp t="s">
        <v>#N/A N/A</v>
        <stp/>
        <stp>BDP|3917229998109883370</stp>
        <tr r="J19" s="1"/>
      </tp>
      <tp t="s">
        <v>#N/A N/A</v>
        <stp/>
        <stp>BDP|5314396023211861739</stp>
        <tr r="R11" s="1"/>
      </tp>
      <tp t="s">
        <v>#N/A N/A</v>
        <stp/>
        <stp>BDP|8106219601590584874</stp>
        <tr r="D22" s="1"/>
      </tp>
      <tp t="s">
        <v>#N/A N/A</v>
        <stp/>
        <stp>BDP|2020844047158542464</stp>
        <tr r="C22" s="1"/>
      </tp>
      <tp t="s">
        <v>#N/A N/A</v>
        <stp/>
        <stp>BDP|3892963190575868476</stp>
        <tr r="O9" s="1"/>
      </tp>
      <tp t="s">
        <v>#N/A N/A</v>
        <stp/>
        <stp>BDP|6757062072605356612</stp>
        <tr r="P10" s="1"/>
      </tp>
      <tp t="s">
        <v>#N/A N/A</v>
        <stp/>
        <stp>BDP|1372323637471882287</stp>
        <tr r="H8" s="1"/>
      </tp>
      <tp t="s">
        <v>#N/A N/A</v>
        <stp/>
        <stp>BDP|4478720103608227909</stp>
        <tr r="D21" s="1"/>
      </tp>
      <tp t="s">
        <v>#N/A N/A</v>
        <stp/>
        <stp>BDP|1962789754332074326</stp>
        <tr r="J25" s="1"/>
      </tp>
      <tp t="s">
        <v>#N/A N/A</v>
        <stp/>
        <stp>BDP|6513470152605505025</stp>
        <tr r="T16" s="1"/>
      </tp>
      <tp t="s">
        <v>#N/A N/A</v>
        <stp/>
        <stp>BDP|4434609106961813038</stp>
        <tr r="Q21" s="1"/>
      </tp>
      <tp t="s">
        <v>#N/A N/A</v>
        <stp/>
        <stp>BDP|1534432958005225626</stp>
        <tr r="I8" s="1"/>
      </tp>
      <tp t="s">
        <v>#N/A N/A</v>
        <stp/>
        <stp>BDP|2362864309838769158</stp>
        <tr r="R20" s="1"/>
      </tp>
      <tp t="s">
        <v>#N/A N/A</v>
        <stp/>
        <stp>BDP|8960841651715206313</stp>
        <tr r="H6" s="1"/>
      </tp>
      <tp t="s">
        <v>#N/A N/A</v>
        <stp/>
        <stp>BDP|5169278101301828534</stp>
        <tr r="I10" s="1"/>
      </tp>
      <tp t="s">
        <v>#N/A N/A</v>
        <stp/>
        <stp>BDP|9961431784555678345</stp>
        <tr r="G9" s="1"/>
      </tp>
      <tp t="s">
        <v>#N/A N/A</v>
        <stp/>
        <stp>BDP|4001976440168879233</stp>
        <tr r="S16" s="1"/>
      </tp>
      <tp t="s">
        <v>#N/A N/A</v>
        <stp/>
        <stp>BDP|9232897626657072700</stp>
        <tr r="T14" s="1"/>
      </tp>
      <tp t="s">
        <v>#N/A N/A</v>
        <stp/>
        <stp>BDP|2109176460460287663</stp>
        <tr r="Q20" s="1"/>
      </tp>
      <tp t="s">
        <v>#N/A N/A</v>
        <stp/>
        <stp>BDP|4121010055893566137</stp>
        <tr r="S18" s="1"/>
      </tp>
      <tp t="s">
        <v>#N/A N/A</v>
        <stp/>
        <stp>BDP|8962769972429794292</stp>
        <tr r="L12" s="1"/>
      </tp>
      <tp t="s">
        <v>#N/A N/A</v>
        <stp/>
        <stp>BDP|5782596308207220446</stp>
        <tr r="L13" s="1"/>
      </tp>
      <tp t="s">
        <v>#N/A N/A</v>
        <stp/>
        <stp>BDP|4706881579280308849</stp>
        <tr r="J12" s="1"/>
      </tp>
      <tp t="s">
        <v>#N/A N/A</v>
        <stp/>
        <stp>BDP|8798667935789424776</stp>
        <tr r="B6" s="1"/>
      </tp>
      <tp t="s">
        <v>#N/A N/A</v>
        <stp/>
        <stp>BDP|7649874562972564821</stp>
        <tr r="N11" s="1"/>
      </tp>
      <tp t="s">
        <v>#N/A N/A</v>
        <stp/>
        <stp>BDP|2146572775650398359</stp>
        <tr r="R24" s="1"/>
      </tp>
      <tp t="s">
        <v>#N/A N/A</v>
        <stp/>
        <stp>BDP|51239766644073972</stp>
        <tr r="D16" s="1"/>
      </tp>
      <tp t="s">
        <v>#N/A N/A</v>
        <stp/>
        <stp>BDP|74504152470488980</stp>
        <tr r="K22" s="1"/>
      </tp>
      <tp t="s">
        <v>#N/A N/A</v>
        <stp/>
        <stp>BDP|81586426663078811</stp>
        <tr r="N18" s="1"/>
      </tp>
      <tp t="s">
        <v>#N/A N/A</v>
        <stp/>
        <stp>BDP|66771670673784556</stp>
        <tr r="H5" s="1"/>
      </tp>
      <tp t="s">
        <v>#N/A N/A</v>
        <stp/>
        <stp>BDP|180697822900113158</stp>
        <tr r="J16" s="1"/>
      </tp>
      <tp t="s">
        <v>#N/A N/A</v>
        <stp/>
        <stp>BDP|593788021635449531</stp>
        <tr r="M6" s="1"/>
      </tp>
      <tp t="s">
        <v>#N/A N/A</v>
        <stp/>
        <stp>BDP|483229239342525738</stp>
        <tr r="B10" s="1"/>
      </tp>
      <tp t="s">
        <v>#N/A N/A</v>
        <stp/>
        <stp>BDP|445376524682615736</stp>
        <tr r="D24" s="1"/>
      </tp>
      <tp t="s">
        <v>#N/A N/A</v>
        <stp/>
        <stp>BDP|953443209071648263</stp>
        <tr r="O22" s="1"/>
      </tp>
      <tp t="s">
        <v>#N/A N/A</v>
        <stp/>
        <stp>BDP|602300276260761263</stp>
        <tr r="C15" s="1"/>
      </tp>
      <tp t="s">
        <v>#N/A N/A</v>
        <stp/>
        <stp>BDP|296177636112144602</stp>
        <tr r="N22" s="1"/>
      </tp>
      <tp t="s">
        <v>#N/A N/A</v>
        <stp/>
        <stp>BDP|407214245014885313</stp>
        <tr r="B25" s="1"/>
      </tp>
      <tp t="s">
        <v>#N/A N/A</v>
        <stp/>
        <stp>BDP|418241817527521560</stp>
        <tr r="E7" s="1"/>
      </tp>
      <tp t="s">
        <v>#N/A N/A</v>
        <stp/>
        <stp>BDP|592933756347402610</stp>
        <tr r="E18" s="1"/>
      </tp>
      <tp t="s">
        <v>#N/A N/A</v>
        <stp/>
        <stp>BDP|464611647978307553</stp>
        <tr r="G7" s="1"/>
      </tp>
      <tp t="s">
        <v>#N/A N/A</v>
        <stp/>
        <stp>BDP|749444815082722972</stp>
        <tr r="S24" s="1"/>
      </tp>
      <tp t="s">
        <v>#N/A N/A</v>
        <stp/>
        <stp>BDP|352272089240262310</stp>
        <tr r="G23" s="1"/>
      </tp>
      <tp t="s">
        <v>#N/A N/A</v>
        <stp/>
        <stp>BDP|731540716898504529</stp>
        <tr r="E22" s="1"/>
      </tp>
      <tp t="s">
        <v>#N/A N/A</v>
        <stp/>
        <stp>BDP|287526167972872926</stp>
        <tr r="O14" s="1"/>
      </tp>
      <tp t="s">
        <v>#N/A N/A</v>
        <stp/>
        <stp>BDP|474816400758330888</stp>
        <tr r="R22" s="1"/>
      </tp>
      <tp t="s">
        <v>#N/A N/A</v>
        <stp/>
        <stp>BDP|722408630037416887</stp>
        <tr r="B5" s="1"/>
      </tp>
      <tp t="s">
        <v>#N/A N/A</v>
        <stp/>
        <stp>BDP|228989050655593241</stp>
        <tr r="L7" s="1"/>
      </tp>
      <tp t="s">
        <v>#N/A N/A</v>
        <stp/>
        <stp>BDP|766028594181136305</stp>
        <tr r="P18" s="1"/>
      </tp>
      <tp t="s">
        <v>#N/A N/A</v>
        <stp/>
        <stp>BDP|457871624171042199</stp>
        <tr r="B7" s="1"/>
      </tp>
      <tp t="s">
        <v>#N/A N/A</v>
        <stp/>
        <stp>BDP|728422952682320937</stp>
        <tr r="J1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26295"/>
  </sheetPr>
  <dimension ref="A1:U54"/>
  <sheetViews>
    <sheetView zoomScaleNormal="100" workbookViewId="0">
      <selection activeCell="A26" sqref="A26"/>
    </sheetView>
  </sheetViews>
  <sheetFormatPr defaultColWidth="8.7109375" defaultRowHeight="15" x14ac:dyDescent="0.25"/>
  <cols>
    <col min="1" max="1" width="8" customWidth="1"/>
    <col min="2" max="2" width="22" customWidth="1"/>
    <col min="3" max="3" width="20" customWidth="1"/>
    <col min="4" max="4" width="24" customWidth="1"/>
    <col min="5" max="5" width="10" customWidth="1"/>
    <col min="6" max="6" width="12" customWidth="1"/>
    <col min="7" max="7" width="8" customWidth="1"/>
    <col min="8" max="10" width="10" customWidth="1"/>
    <col min="11" max="13" width="12" customWidth="1"/>
    <col min="14" max="14" width="10" customWidth="1"/>
    <col min="15" max="15" width="8" customWidth="1"/>
    <col min="16" max="16" width="10" customWidth="1"/>
    <col min="17" max="17" width="12" customWidth="1"/>
    <col min="18" max="18" width="8" customWidth="1"/>
    <col min="19" max="19" width="10" customWidth="1"/>
    <col min="20" max="20" width="14" customWidth="1"/>
    <col min="21" max="21" width="10" customWidth="1"/>
  </cols>
  <sheetData>
    <row r="1" spans="1:21" ht="17.25" customHeight="1" x14ac:dyDescent="0.25">
      <c r="A1" s="1" t="s">
        <v>0</v>
      </c>
    </row>
    <row r="2" spans="1:21" ht="15" customHeight="1" x14ac:dyDescent="0.25">
      <c r="A2" s="2" t="s">
        <v>1</v>
      </c>
    </row>
    <row r="3" spans="1:21" ht="15" customHeight="1" x14ac:dyDescent="0.25">
      <c r="A3" s="3" t="s">
        <v>2</v>
      </c>
    </row>
    <row r="4" spans="1:21" ht="26.25" customHeigh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</row>
    <row r="5" spans="1:21" ht="15" customHeight="1" x14ac:dyDescent="0.25">
      <c r="A5" s="5" t="s">
        <v>24</v>
      </c>
      <c r="B5" s="6" t="str">
        <f>IF(A5="","",_xll.BDP(A5&amp;" US Equity","NAME"))</f>
        <v>APPLE INC</v>
      </c>
      <c r="C5" s="6" t="str">
        <f>IF(A5="","",_xll.BDP(A5&amp;" US Equity","GICS_SECTOR_NAME"))</f>
        <v>Information Technology</v>
      </c>
      <c r="D5" s="6" t="str">
        <f>IF(A5="","",_xll.BDP(A5&amp;" US Equity","GICS_SUB_INDUSTRY_NAME"))</f>
        <v>Technology Hardware, Storage &amp;</v>
      </c>
      <c r="E5" s="6">
        <f>IF(A5="","",_xll.BDP(A5&amp;" US Equity","PX_LAST"))</f>
        <v>259.44499999999999</v>
      </c>
      <c r="F5" s="6">
        <f>IF(A5="","",_xll.BDP(A5&amp;" US Equity","CUR_MKT_CAP")/1000000000)</f>
        <v>3808.9483672999995</v>
      </c>
      <c r="G5" s="6">
        <f>IF(A5="","",_xll.BDP(A5&amp;" US Equity","BETA_RAW_OVERRIDABLE"))</f>
        <v>1.1099219227168609</v>
      </c>
      <c r="H5" s="6">
        <f>IF(A5="","",_xll.BDP(A5&amp;" US Equity","BEST_PE_RATIO"))</f>
        <v>30.052704737634652</v>
      </c>
      <c r="I5" s="6">
        <f>IF(A5="","",_xll.BDP(A5&amp;" US Equity","RETURN_ON_INV_CAPITAL"))</f>
        <v>68.788493323026486</v>
      </c>
      <c r="J5" s="6">
        <f>IF(A5="","",_xll.BDP(A5&amp;" US Equity","RETURN_COM_EQY"))</f>
        <v>152.02132328264966</v>
      </c>
      <c r="K5" s="6">
        <f>IF(A5="","",_xll.BDP(A5&amp;" US Equity","GROSS_MARGIN"))</f>
        <v>46.905164107160445</v>
      </c>
      <c r="L5" s="6">
        <f>IF(A5="","",_xll.BDP(A5&amp;" US Equity","OPER_MARGIN"))</f>
        <v>31.970799762591884</v>
      </c>
      <c r="M5" s="6" t="str">
        <f>IF(A5="","",_xll.BDP(A5&amp;" US Equity","NET_INCOME_MARGIN"))</f>
        <v>#N/A Invalid Field</v>
      </c>
      <c r="N5" s="6">
        <f>IF(A5="","",_xll.BDP(A5&amp;" US Equity","FREE_CASH_FLOW_YIELD"))</f>
        <v>3.2043211912132761</v>
      </c>
      <c r="O5" s="6">
        <f>IF(A5="","",_xll.BDP(A5&amp;" US Equity","TOT_DEBT_TO_TOT_EQY"))</f>
        <v>152.41072518411022</v>
      </c>
      <c r="P5" s="6">
        <f>IF(A5="","",_xll.BDP(A5&amp;" US Equity","EQY_DVD_YLD_IND"))</f>
        <v>0.40085565798262729</v>
      </c>
      <c r="Q5" s="6">
        <f>IF(A5="","",_xll.BDP(A5&amp;" US Equity","BEST_CUR_EV_TO_EBITDA"))</f>
        <v>22.607475333252257</v>
      </c>
      <c r="R5" s="6">
        <f>IF(A5="","",_xll.BDP(A5&amp;" US Equity","PX_TO_BOOK_RATIO"))</f>
        <v>43.253689619240426</v>
      </c>
      <c r="S5" s="6" t="str">
        <f>IF(A5="","",_xll.BDP(A5&amp;" US Equity","RESEARCH_AND_DEV_TO_REVENUE"))</f>
        <v>#N/A Invalid Field</v>
      </c>
      <c r="T5" s="6" t="str">
        <f>IF(A5="","",_xll.BDP(A5&amp;" US Equity","REVENUE_5YR_CAGR"))</f>
        <v>#N/A Invalid Field</v>
      </c>
      <c r="U5" s="6">
        <f t="shared" ref="U5:U36" si="0">IF(A5="","",0.045+G5*0.05)</f>
        <v>0.10049609613584304</v>
      </c>
    </row>
    <row r="6" spans="1:21" ht="15" customHeight="1" x14ac:dyDescent="0.25">
      <c r="A6" s="5" t="s">
        <v>25</v>
      </c>
      <c r="B6" s="6" t="str">
        <f>IF(A6="","",_xll.BDP(A6&amp;" US Equity","NAME"))</f>
        <v>MICROSOFT CORP</v>
      </c>
      <c r="C6" s="6" t="str">
        <f>IF(A6="","",_xll.BDP(A6&amp;" US Equity","GICS_SECTOR_NAME"))</f>
        <v>Information Technology</v>
      </c>
      <c r="D6" s="6" t="str">
        <f>IF(A6="","",_xll.BDP(A6&amp;" US Equity","GICS_SUB_INDUSTRY_NAME"))</f>
        <v>Systems Software</v>
      </c>
      <c r="E6" s="6">
        <f>IF(A6="","",_xll.BDP(A6&amp;" US Equity","PX_LAST"))</f>
        <v>402.79500000000002</v>
      </c>
      <c r="F6" s="6">
        <f>IF(A6="","",_xll.BDP(A6&amp;" US Equity","CUR_MKT_CAP")/1000000000)</f>
        <v>2991.0062636674197</v>
      </c>
      <c r="G6" s="6">
        <f>IF(A6="","",_xll.BDP(A6&amp;" US Equity","BETA_RAW_OVERRIDABLE"))</f>
        <v>1.0233857142150129</v>
      </c>
      <c r="H6" s="6">
        <f>IF(A6="","",_xll.BDP(A6&amp;" US Equity","BEST_PE_RATIO"))</f>
        <v>22.886079545454546</v>
      </c>
      <c r="I6" s="6">
        <f>IF(A6="","",_xll.BDP(A6&amp;" US Equity","RETURN_ON_INV_CAPITAL"))</f>
        <v>25.012015094781642</v>
      </c>
      <c r="J6" s="6">
        <f>IF(A6="","",_xll.BDP(A6&amp;" US Equity","RETURN_COM_EQY"))</f>
        <v>34.390760846057354</v>
      </c>
      <c r="K6" s="6">
        <f>IF(A6="","",_xll.BDP(A6&amp;" US Equity","GROSS_MARGIN"))</f>
        <v>68.823742386165179</v>
      </c>
      <c r="L6" s="6">
        <f>IF(A6="","",_xll.BDP(A6&amp;" US Equity","OPER_MARGIN"))</f>
        <v>45.621956240859852</v>
      </c>
      <c r="M6" s="6" t="str">
        <f>IF(A6="","",_xll.BDP(A6&amp;" US Equity","NET_INCOME_MARGIN"))</f>
        <v>#N/A Invalid Field</v>
      </c>
      <c r="N6" s="6">
        <f>IF(A6="","",_xll.BDP(A6&amp;" US Equity","FREE_CASH_FLOW_YIELD"))</f>
        <v>2.5856690231835104</v>
      </c>
      <c r="O6" s="6">
        <f>IF(A6="","",_xll.BDP(A6&amp;" US Equity","TOT_DEBT_TO_TOT_EQY"))</f>
        <v>32.6610942735946</v>
      </c>
      <c r="P6" s="6">
        <f>IF(A6="","",_xll.BDP(A6&amp;" US Equity","EQY_DVD_YLD_IND"))</f>
        <v>0.90368552362968124</v>
      </c>
      <c r="Q6" s="6">
        <f>IF(A6="","",_xll.BDP(A6&amp;" US Equity","BEST_CUR_EV_TO_EBITDA"))</f>
        <v>14.170161459629353</v>
      </c>
      <c r="R6" s="6">
        <f>IF(A6="","",_xll.BDP(A6&amp;" US Equity","PX_TO_BOOK_RATIO"))</f>
        <v>7.6555526824551041</v>
      </c>
      <c r="S6" s="6" t="str">
        <f>IF(A6="","",_xll.BDP(A6&amp;" US Equity","RESEARCH_AND_DEV_TO_REVENUE"))</f>
        <v>#N/A Invalid Field</v>
      </c>
      <c r="T6" s="6" t="str">
        <f>IF(A6="","",_xll.BDP(A6&amp;" US Equity","REVENUE_5YR_CAGR"))</f>
        <v>#N/A Invalid Field</v>
      </c>
      <c r="U6" s="6">
        <f t="shared" si="0"/>
        <v>9.6169285710750646E-2</v>
      </c>
    </row>
    <row r="7" spans="1:21" ht="15" customHeight="1" x14ac:dyDescent="0.25">
      <c r="A7" s="5" t="s">
        <v>26</v>
      </c>
      <c r="B7" s="6" t="str">
        <f>IF(A7="","",_xll.BDP(A7&amp;" US Equity","NAME"))</f>
        <v>ALPHABET INC-CL A</v>
      </c>
      <c r="C7" s="6" t="str">
        <f>IF(A7="","",_xll.BDP(A7&amp;" US Equity","GICS_SECTOR_NAME"))</f>
        <v>Communication Services</v>
      </c>
      <c r="D7" s="6" t="str">
        <f>IF(A7="","",_xll.BDP(A7&amp;" US Equity","GICS_SUB_INDUSTRY_NAME"))</f>
        <v>Interactive Media &amp; Services</v>
      </c>
      <c r="E7" s="6">
        <f>IF(A7="","",_xll.BDP(A7&amp;" US Equity","PX_LAST"))</f>
        <v>306.73500000000001</v>
      </c>
      <c r="F7" s="6">
        <f>IF(A7="","",_xll.BDP(A7&amp;" US Equity","CUR_MKT_CAP")/1000000000)</f>
        <v>3712.8280475000006</v>
      </c>
      <c r="G7" s="6">
        <f>IF(A7="","",_xll.BDP(A7&amp;" US Equity","BETA_RAW_OVERRIDABLE"))</f>
        <v>1.0653030461857347</v>
      </c>
      <c r="H7" s="6">
        <f>IF(A7="","",_xll.BDP(A7&amp;" US Equity","BEST_PE_RATIO"))</f>
        <v>25.162838392124694</v>
      </c>
      <c r="I7" s="6">
        <f>IF(A7="","",_xll.BDP(A7&amp;" US Equity","RETURN_ON_INV_CAPITAL"))</f>
        <v>25.130866965971364</v>
      </c>
      <c r="J7" s="6">
        <f>IF(A7="","",_xll.BDP(A7&amp;" US Equity","RETURN_COM_EQY"))</f>
        <v>35.704782474211491</v>
      </c>
      <c r="K7" s="6">
        <f>IF(A7="","",_xll.BDP(A7&amp;" US Equity","GROSS_MARGIN"))</f>
        <v>59.652315086039977</v>
      </c>
      <c r="L7" s="6">
        <f>IF(A7="","",_xll.BDP(A7&amp;" US Equity","OPER_MARGIN"))</f>
        <v>32.032638592380025</v>
      </c>
      <c r="M7" s="6" t="str">
        <f>IF(A7="","",_xll.BDP(A7&amp;" US Equity","NET_INCOME_MARGIN"))</f>
        <v>#N/A Invalid Field</v>
      </c>
      <c r="N7" s="6">
        <f>IF(A7="","",_xll.BDP(A7&amp;" US Equity","FREE_CASH_FLOW_YIELD"))</f>
        <v>1.9725347989545325</v>
      </c>
      <c r="O7" s="6">
        <f>IF(A7="","",_xll.BDP(A7&amp;" US Equity","TOT_DEBT_TO_TOT_EQY"))</f>
        <v>15.156827567938544</v>
      </c>
      <c r="P7" s="6">
        <f>IF(A7="","",_xll.BDP(A7&amp;" US Equity","EQY_DVD_YLD_IND"))</f>
        <v>0.27385201355370475</v>
      </c>
      <c r="Q7" s="6">
        <f>IF(A7="","",_xll.BDP(A7&amp;" US Equity","BEST_CUR_EV_TO_EBITDA"))</f>
        <v>16.449675654181693</v>
      </c>
      <c r="R7" s="6">
        <f>IF(A7="","",_xll.BDP(A7&amp;" US Equity","PX_TO_BOOK_RATIO"))</f>
        <v>9.0196402444894943</v>
      </c>
      <c r="S7" s="6" t="str">
        <f>IF(A7="","",_xll.BDP(A7&amp;" US Equity","RESEARCH_AND_DEV_TO_REVENUE"))</f>
        <v>#N/A Invalid Field</v>
      </c>
      <c r="T7" s="6" t="str">
        <f>IF(A7="","",_xll.BDP(A7&amp;" US Equity","REVENUE_5YR_CAGR"))</f>
        <v>#N/A Invalid Field</v>
      </c>
      <c r="U7" s="6">
        <f t="shared" si="0"/>
        <v>9.826515230928673E-2</v>
      </c>
    </row>
    <row r="8" spans="1:21" ht="15" customHeight="1" x14ac:dyDescent="0.25">
      <c r="A8" s="5" t="s">
        <v>27</v>
      </c>
      <c r="B8" s="6" t="str">
        <f>IF(A8="","",_xll.BDP(A8&amp;" US Equity","NAME"))</f>
        <v>NVIDIA CORP</v>
      </c>
      <c r="C8" s="6" t="str">
        <f>IF(A8="","",_xll.BDP(A8&amp;" US Equity","GICS_SECTOR_NAME"))</f>
        <v>Information Technology</v>
      </c>
      <c r="D8" s="6" t="str">
        <f>IF(A8="","",_xll.BDP(A8&amp;" US Equity","GICS_SUB_INDUSTRY_NAME"))</f>
        <v>Semiconductors</v>
      </c>
      <c r="E8" s="6">
        <f>IF(A8="","",_xll.BDP(A8&amp;" US Equity","PX_LAST"))</f>
        <v>184.07990000000001</v>
      </c>
      <c r="F8" s="6">
        <f>IF(A8="","",_xll.BDP(A8&amp;" US Equity","CUR_MKT_CAP")/1000000000)</f>
        <v>4473.1415699999998</v>
      </c>
      <c r="G8" s="6">
        <f>IF(A8="","",_xll.BDP(A8&amp;" US Equity","BETA_RAW_OVERRIDABLE"))</f>
        <v>2.2647578248406748</v>
      </c>
      <c r="H8" s="6">
        <f>IF(A8="","",_xll.BDP(A8&amp;" US Equity","BEST_PE_RATIO"))</f>
        <v>26.136575323015762</v>
      </c>
      <c r="I8" s="6">
        <f>IF(A8="","",_xll.BDP(A8&amp;" US Equity","RETURN_ON_INV_CAPITAL"))</f>
        <v>99.659600041850624</v>
      </c>
      <c r="J8" s="6">
        <f>IF(A8="","",_xll.BDP(A8&amp;" US Equity","RETURN_COM_EQY"))</f>
        <v>107.35946665512242</v>
      </c>
      <c r="K8" s="6">
        <f>IF(A8="","",_xll.BDP(A8&amp;" US Equity","GROSS_MARGIN"))</f>
        <v>74.988697058169919</v>
      </c>
      <c r="L8" s="6">
        <f>IF(A8="","",_xll.BDP(A8&amp;" US Equity","OPER_MARGIN"))</f>
        <v>62.417526839697466</v>
      </c>
      <c r="M8" s="6" t="str">
        <f>IF(A8="","",_xll.BDP(A8&amp;" US Equity","NET_INCOME_MARGIN"))</f>
        <v>#N/A Invalid Field</v>
      </c>
      <c r="N8" s="6">
        <f>IF(A8="","",_xll.BDP(A8&amp;" US Equity","FREE_CASH_FLOW_YIELD"))</f>
        <v>1.7211146434703803</v>
      </c>
      <c r="O8" s="6">
        <f>IF(A8="","",_xll.BDP(A8&amp;" US Equity","TOT_DEBT_TO_TOT_EQY"))</f>
        <v>12.946411688328061</v>
      </c>
      <c r="P8" s="6">
        <f>IF(A8="","",_xll.BDP(A8&amp;" US Equity","EQY_DVD_YLD_IND"))</f>
        <v>2.1729694065419598E-2</v>
      </c>
      <c r="Q8" s="6">
        <f>IF(A8="","",_xll.BDP(A8&amp;" US Equity","BEST_CUR_EV_TO_EBITDA"))</f>
        <v>20.715650763505877</v>
      </c>
      <c r="R8" s="6">
        <f>IF(A8="","",_xll.BDP(A8&amp;" US Equity","PX_TO_BOOK_RATIO"))</f>
        <v>37.629728659677767</v>
      </c>
      <c r="S8" s="6" t="str">
        <f>IF(A8="","",_xll.BDP(A8&amp;" US Equity","RESEARCH_AND_DEV_TO_REVENUE"))</f>
        <v>#N/A Invalid Field</v>
      </c>
      <c r="T8" s="6" t="str">
        <f>IF(A8="","",_xll.BDP(A8&amp;" US Equity","REVENUE_5YR_CAGR"))</f>
        <v>#N/A Invalid Field</v>
      </c>
      <c r="U8" s="6">
        <f t="shared" si="0"/>
        <v>0.15823789124203375</v>
      </c>
    </row>
    <row r="9" spans="1:21" ht="15" customHeight="1" x14ac:dyDescent="0.25">
      <c r="A9" s="5" t="s">
        <v>28</v>
      </c>
      <c r="B9" s="6" t="str">
        <f>IF(A9="","",_xll.BDP(A9&amp;" US Equity","NAME"))</f>
        <v>AMAZON.COM INC</v>
      </c>
      <c r="C9" s="6" t="str">
        <f>IF(A9="","",_xll.BDP(A9&amp;" US Equity","GICS_SECTOR_NAME"))</f>
        <v>Consumer Discretionary</v>
      </c>
      <c r="D9" s="6" t="str">
        <f>IF(A9="","",_xll.BDP(A9&amp;" US Equity","GICS_SUB_INDUSTRY_NAME"))</f>
        <v>Broadline Retail</v>
      </c>
      <c r="E9" s="6">
        <f>IF(A9="","",_xll.BDP(A9&amp;" US Equity","PX_LAST"))</f>
        <v>200.51</v>
      </c>
      <c r="F9" s="6">
        <f>IF(A9="","",_xll.BDP(A9&amp;" US Equity","CUR_MKT_CAP")/1000000000)</f>
        <v>2152.4589836437003</v>
      </c>
      <c r="G9" s="6">
        <f>IF(A9="","",_xll.BDP(A9&amp;" US Equity","BETA_RAW_OVERRIDABLE"))</f>
        <v>1.421326211226829</v>
      </c>
      <c r="H9" s="6">
        <f>IF(A9="","",_xll.BDP(A9&amp;" US Equity","BEST_PE_RATIO"))</f>
        <v>21.155307026798901</v>
      </c>
      <c r="I9" s="6">
        <f>IF(A9="","",_xll.BDP(A9&amp;" US Equity","RETURN_ON_INV_CAPITAL"))</f>
        <v>12.435293182445371</v>
      </c>
      <c r="J9" s="6">
        <f>IF(A9="","",_xll.BDP(A9&amp;" US Equity","RETURN_COM_EQY"))</f>
        <v>22.285824958574533</v>
      </c>
      <c r="K9" s="6">
        <f>IF(A9="","",_xll.BDP(A9&amp;" US Equity","GROSS_MARGIN"))</f>
        <v>50.285664868242662</v>
      </c>
      <c r="L9" s="6">
        <f>IF(A9="","",_xll.BDP(A9&amp;" US Equity","OPER_MARGIN"))</f>
        <v>11.155296795755199</v>
      </c>
      <c r="M9" s="6" t="str">
        <f>IF(A9="","",_xll.BDP(A9&amp;" US Equity","NET_INCOME_MARGIN"))</f>
        <v>#N/A Invalid Field</v>
      </c>
      <c r="N9" s="6">
        <f>IF(A9="","",_xll.BDP(A9&amp;" US Equity","FREE_CASH_FLOW_YIELD"))</f>
        <v>0.35480726283806935</v>
      </c>
      <c r="O9" s="6">
        <f>IF(A9="","",_xll.BDP(A9&amp;" US Equity","TOT_DEBT_TO_TOT_EQY"))</f>
        <v>41.339934073686642</v>
      </c>
      <c r="P9" s="6" t="str">
        <f>IF(A9="","",_xll.BDP(A9&amp;" US Equity","EQY_DVD_YLD_IND"))</f>
        <v>#N/A N/A</v>
      </c>
      <c r="Q9" s="6">
        <f>IF(A9="","",_xll.BDP(A9&amp;" US Equity","BEST_CUR_EV_TO_EBITDA"))</f>
        <v>10.152691523572676</v>
      </c>
      <c r="R9" s="6">
        <f>IF(A9="","",_xll.BDP(A9&amp;" US Equity","PX_TO_BOOK_RATIO"))</f>
        <v>5.234385683657953</v>
      </c>
      <c r="S9" s="6" t="str">
        <f>IF(A9="","",_xll.BDP(A9&amp;" US Equity","RESEARCH_AND_DEV_TO_REVENUE"))</f>
        <v>#N/A Invalid Field</v>
      </c>
      <c r="T9" s="6" t="str">
        <f>IF(A9="","",_xll.BDP(A9&amp;" US Equity","REVENUE_5YR_CAGR"))</f>
        <v>#N/A Invalid Field</v>
      </c>
      <c r="U9" s="6">
        <f t="shared" si="0"/>
        <v>0.11606631056134145</v>
      </c>
    </row>
    <row r="10" spans="1:21" ht="15" customHeight="1" x14ac:dyDescent="0.25">
      <c r="A10" s="5" t="s">
        <v>29</v>
      </c>
      <c r="B10" s="6" t="str">
        <f>IF(A10="","",_xll.BDP(A10&amp;" US Equity","NAME"))</f>
        <v>META PLATFORMS INC-CLASS A</v>
      </c>
      <c r="C10" s="6" t="str">
        <f>IF(A10="","",_xll.BDP(A10&amp;" US Equity","GICS_SECTOR_NAME"))</f>
        <v>Communication Services</v>
      </c>
      <c r="D10" s="6" t="str">
        <f>IF(A10="","",_xll.BDP(A10&amp;" US Equity","GICS_SUB_INDUSTRY_NAME"))</f>
        <v>Interactive Media &amp; Services</v>
      </c>
      <c r="E10" s="6">
        <f>IF(A10="","",_xll.BDP(A10&amp;" US Equity","PX_LAST"))</f>
        <v>650.47</v>
      </c>
      <c r="F10" s="6">
        <f>IF(A10="","",_xll.BDP(A10&amp;" US Equity","CUR_MKT_CAP")/1000000000)</f>
        <v>1645.9211506192103</v>
      </c>
      <c r="G10" s="6">
        <f>IF(A10="","",_xll.BDP(A10&amp;" US Equity","BETA_RAW_OVERRIDABLE"))</f>
        <v>1.2868527980833167</v>
      </c>
      <c r="H10" s="6">
        <f>IF(A10="","",_xll.BDP(A10&amp;" US Equity","BEST_PE_RATIO"))</f>
        <v>19.261200438245833</v>
      </c>
      <c r="I10" s="6">
        <f>IF(A10="","",_xll.BDP(A10&amp;" US Equity","RETURN_ON_INV_CAPITAL"))</f>
        <v>22.027166386946192</v>
      </c>
      <c r="J10" s="6">
        <f>IF(A10="","",_xll.BDP(A10&amp;" US Equity","RETURN_COM_EQY"))</f>
        <v>30.238071421426426</v>
      </c>
      <c r="K10" s="6">
        <f>IF(A10="","",_xll.BDP(A10&amp;" US Equity","GROSS_MARGIN"))</f>
        <v>81.99944269179862</v>
      </c>
      <c r="L10" s="6">
        <f>IF(A10="","",_xll.BDP(A10&amp;" US Equity","OPER_MARGIN"))</f>
        <v>41.437855159579236</v>
      </c>
      <c r="M10" s="6" t="str">
        <f>IF(A10="","",_xll.BDP(A10&amp;" US Equity","NET_INCOME_MARGIN"))</f>
        <v>#N/A Invalid Field</v>
      </c>
      <c r="N10" s="6">
        <f>IF(A10="","",_xll.BDP(A10&amp;" US Equity","FREE_CASH_FLOW_YIELD"))</f>
        <v>2.8105079364093593</v>
      </c>
      <c r="O10" s="6">
        <f>IF(A10="","",_xll.BDP(A10&amp;" US Equity","TOT_DEBT_TO_TOT_EQY"))</f>
        <v>39.163977665563451</v>
      </c>
      <c r="P10" s="6">
        <f>IF(A10="","",_xll.BDP(A10&amp;" US Equity","EQY_DVD_YLD_IND"))</f>
        <v>0.32284346774371891</v>
      </c>
      <c r="Q10" s="6">
        <f>IF(A10="","",_xll.BDP(A10&amp;" US Equity","BEST_CUR_EV_TO_EBITDA"))</f>
        <v>13.350759818253909</v>
      </c>
      <c r="R10" s="6">
        <f>IF(A10="","",_xll.BDP(A10&amp;" US Equity","PX_TO_BOOK_RATIO"))</f>
        <v>7.5843200277616107</v>
      </c>
      <c r="S10" s="6" t="str">
        <f>IF(A10="","",_xll.BDP(A10&amp;" US Equity","RESEARCH_AND_DEV_TO_REVENUE"))</f>
        <v>#N/A Invalid Field</v>
      </c>
      <c r="T10" s="6" t="str">
        <f>IF(A10="","",_xll.BDP(A10&amp;" US Equity","REVENUE_5YR_CAGR"))</f>
        <v>#N/A Invalid Field</v>
      </c>
      <c r="U10" s="6">
        <f t="shared" si="0"/>
        <v>0.10934263990416583</v>
      </c>
    </row>
    <row r="11" spans="1:21" ht="15" customHeight="1" x14ac:dyDescent="0.25">
      <c r="A11" s="5" t="s">
        <v>30</v>
      </c>
      <c r="B11" s="6" t="str">
        <f>IF(A11="","",_xll.BDP(A11&amp;" US Equity","NAME"))</f>
        <v>VISA INC-CLASS A SHARES</v>
      </c>
      <c r="C11" s="6" t="str">
        <f>IF(A11="","",_xll.BDP(A11&amp;" US Equity","GICS_SECTOR_NAME"))</f>
        <v>Financials</v>
      </c>
      <c r="D11" s="6" t="str">
        <f>IF(A11="","",_xll.BDP(A11&amp;" US Equity","GICS_SUB_INDUSTRY_NAME"))</f>
        <v>Transaction &amp; Payment Processi</v>
      </c>
      <c r="E11" s="6">
        <f>IF(A11="","",_xll.BDP(A11&amp;" US Equity","PX_LAST"))</f>
        <v>318.85500000000002</v>
      </c>
      <c r="F11" s="6">
        <f>IF(A11="","",_xll.BDP(A11&amp;" US Equity","CUR_MKT_CAP")/1000000000)</f>
        <v>622.39815861215072</v>
      </c>
      <c r="G11" s="6">
        <f>IF(A11="","",_xll.BDP(A11&amp;" US Equity","BETA_RAW_OVERRIDABLE"))</f>
        <v>0.75626543066506613</v>
      </c>
      <c r="H11" s="6">
        <f>IF(A11="","",_xll.BDP(A11&amp;" US Equity","BEST_PE_RATIO"))</f>
        <v>24.073612684031708</v>
      </c>
      <c r="I11" s="6">
        <f>IF(A11="","",_xll.BDP(A11&amp;" US Equity","RETURN_ON_INV_CAPITAL"))</f>
        <v>34.676108192208538</v>
      </c>
      <c r="J11" s="6">
        <f>IF(A11="","",_xll.BDP(A11&amp;" US Equity","RETURN_COM_EQY"))</f>
        <v>54.992197624904129</v>
      </c>
      <c r="K11" s="6" t="str">
        <f>IF(A11="","",_xll.BDP(A11&amp;" US Equity","GROSS_MARGIN"))</f>
        <v>#N/A N/A</v>
      </c>
      <c r="L11" s="6">
        <f>IF(A11="","",_xll.BDP(A11&amp;" US Equity","OPER_MARGIN"))</f>
        <v>59.984999999999999</v>
      </c>
      <c r="M11" s="6" t="str">
        <f>IF(A11="","",_xll.BDP(A11&amp;" US Equity","NET_INCOME_MARGIN"))</f>
        <v>#N/A Invalid Field</v>
      </c>
      <c r="N11" s="6">
        <f>IF(A11="","",_xll.BDP(A11&amp;" US Equity","FREE_CASH_FLOW_YIELD"))</f>
        <v>3.9170673696500331</v>
      </c>
      <c r="O11" s="6">
        <f>IF(A11="","",_xll.BDP(A11&amp;" US Equity","TOT_DEBT_TO_TOT_EQY"))</f>
        <v>68.806879632804879</v>
      </c>
      <c r="P11" s="6">
        <f>IF(A11="","",_xll.BDP(A11&amp;" US Equity","EQY_DVD_YLD_IND"))</f>
        <v>0.84050746162274448</v>
      </c>
      <c r="Q11" s="6">
        <f>IF(A11="","",_xll.BDP(A11&amp;" US Equity","BEST_CUR_EV_TO_EBITDA"))</f>
        <v>19.368511817415673</v>
      </c>
      <c r="R11" s="6">
        <f>IF(A11="","",_xll.BDP(A11&amp;" US Equity","PX_TO_BOOK_RATIO"))</f>
        <v>15.156164782141952</v>
      </c>
      <c r="S11" s="6" t="str">
        <f>IF(A11="","",_xll.BDP(A11&amp;" US Equity","RESEARCH_AND_DEV_TO_REVENUE"))</f>
        <v>#N/A Invalid Field</v>
      </c>
      <c r="T11" s="6" t="str">
        <f>IF(A11="","",_xll.BDP(A11&amp;" US Equity","REVENUE_5YR_CAGR"))</f>
        <v>#N/A Invalid Field</v>
      </c>
      <c r="U11" s="6">
        <f t="shared" si="0"/>
        <v>8.281327153325331E-2</v>
      </c>
    </row>
    <row r="12" spans="1:21" ht="15" customHeight="1" x14ac:dyDescent="0.25">
      <c r="A12" s="5" t="s">
        <v>31</v>
      </c>
      <c r="B12" s="6" t="str">
        <f>IF(A12="","",_xll.BDP(A12&amp;" US Equity","NAME"))</f>
        <v>MASTERCARD INC - A</v>
      </c>
      <c r="C12" s="6" t="str">
        <f>IF(A12="","",_xll.BDP(A12&amp;" US Equity","GICS_SECTOR_NAME"))</f>
        <v>Financials</v>
      </c>
      <c r="D12" s="6" t="str">
        <f>IF(A12="","",_xll.BDP(A12&amp;" US Equity","GICS_SUB_INDUSTRY_NAME"))</f>
        <v>Transaction &amp; Payment Processi</v>
      </c>
      <c r="E12" s="6">
        <f>IF(A12="","",_xll.BDP(A12&amp;" US Equity","PX_LAST"))</f>
        <v>525.28</v>
      </c>
      <c r="F12" s="6">
        <f>IF(A12="","",_xll.BDP(A12&amp;" US Equity","CUR_MKT_CAP")/1000000000)</f>
        <v>468.52562390928011</v>
      </c>
      <c r="G12" s="6">
        <f>IF(A12="","",_xll.BDP(A12&amp;" US Equity","BETA_RAW_OVERRIDABLE"))</f>
        <v>0.78531752420939371</v>
      </c>
      <c r="H12" s="6">
        <f>IF(A12="","",_xll.BDP(A12&amp;" US Equity","BEST_PE_RATIO"))</f>
        <v>26.849315068493148</v>
      </c>
      <c r="I12" s="6">
        <f>IF(A12="","",_xll.BDP(A12&amp;" US Equity","RETURN_ON_INV_CAPITAL"))</f>
        <v>58.677643322226146</v>
      </c>
      <c r="J12" s="6">
        <f>IF(A12="","",_xll.BDP(A12&amp;" US Equity","RETURN_COM_EQY"))</f>
        <v>210.49078891857684</v>
      </c>
      <c r="K12" s="6" t="str">
        <f>IF(A12="","",_xll.BDP(A12&amp;" US Equity","GROSS_MARGIN"))</f>
        <v>#N/A N/A</v>
      </c>
      <c r="L12" s="6">
        <f>IF(A12="","",_xll.BDP(A12&amp;" US Equity","OPER_MARGIN"))</f>
        <v>57.628617608490131</v>
      </c>
      <c r="M12" s="6" t="str">
        <f>IF(A12="","",_xll.BDP(A12&amp;" US Equity","NET_INCOME_MARGIN"))</f>
        <v>#N/A Invalid Field</v>
      </c>
      <c r="N12" s="6">
        <f>IF(A12="","",_xll.BDP(A12&amp;" US Equity","FREE_CASH_FLOW_YIELD"))</f>
        <v>3.6145176843797708</v>
      </c>
      <c r="O12" s="6">
        <f>IF(A12="","",_xll.BDP(A12&amp;" US Equity","TOT_DEBT_TO_TOT_EQY"))</f>
        <v>256.04182804027886</v>
      </c>
      <c r="P12" s="6">
        <f>IF(A12="","",_xll.BDP(A12&amp;" US Equity","EQY_DVD_YLD_IND"))</f>
        <v>0.66250381112425494</v>
      </c>
      <c r="Q12" s="6">
        <f>IF(A12="","",_xll.BDP(A12&amp;" US Equity","BEST_CUR_EV_TO_EBITDA"))</f>
        <v>20.444833730988968</v>
      </c>
      <c r="R12" s="6">
        <f>IF(A12="","",_xll.BDP(A12&amp;" US Equity","PX_TO_BOOK_RATIO"))</f>
        <v>60.695404703555162</v>
      </c>
      <c r="S12" s="6" t="str">
        <f>IF(A12="","",_xll.BDP(A12&amp;" US Equity","RESEARCH_AND_DEV_TO_REVENUE"))</f>
        <v>#N/A Invalid Field</v>
      </c>
      <c r="T12" s="6" t="str">
        <f>IF(A12="","",_xll.BDP(A12&amp;" US Equity","REVENUE_5YR_CAGR"))</f>
        <v>#N/A Invalid Field</v>
      </c>
      <c r="U12" s="6">
        <f t="shared" si="0"/>
        <v>8.4265876210469687E-2</v>
      </c>
    </row>
    <row r="13" spans="1:21" ht="15" customHeight="1" x14ac:dyDescent="0.25">
      <c r="A13" s="5" t="s">
        <v>32</v>
      </c>
      <c r="B13" s="6" t="str">
        <f>IF(A13="","",_xll.BDP(A13&amp;" US Equity","NAME"))</f>
        <v>ACCENTURE PLC-CL A</v>
      </c>
      <c r="C13" s="6" t="str">
        <f>IF(A13="","",_xll.BDP(A13&amp;" US Equity","GICS_SECTOR_NAME"))</f>
        <v>Information Technology</v>
      </c>
      <c r="D13" s="6" t="str">
        <f>IF(A13="","",_xll.BDP(A13&amp;" US Equity","GICS_SUB_INDUSTRY_NAME"))</f>
        <v>IT Consulting &amp; Other Services</v>
      </c>
      <c r="E13" s="6">
        <f>IF(A13="","",_xll.BDP(A13&amp;" US Equity","PX_LAST"))</f>
        <v>223.92</v>
      </c>
      <c r="F13" s="6">
        <f>IF(A13="","",_xll.BDP(A13&amp;" US Equity","CUR_MKT_CAP")/1000000000)</f>
        <v>148.04079880464002</v>
      </c>
      <c r="G13" s="6">
        <f>IF(A13="","",_xll.BDP(A13&amp;" US Equity","BETA_RAW_OVERRIDABLE"))</f>
        <v>0.6024610596254103</v>
      </c>
      <c r="H13" s="6">
        <f>IF(A13="","",_xll.BDP(A13&amp;" US Equity","BEST_PE_RATIO"))</f>
        <v>16.01029601029601</v>
      </c>
      <c r="I13" s="6">
        <f>IF(A13="","",_xll.BDP(A13&amp;" US Equity","RETURN_ON_INV_CAPITAL"))</f>
        <v>20.96192662937996</v>
      </c>
      <c r="J13" s="6">
        <f>IF(A13="","",_xll.BDP(A13&amp;" US Equity","RETURN_COM_EQY"))</f>
        <v>25.345833206095215</v>
      </c>
      <c r="K13" s="6">
        <f>IF(A13="","",_xll.BDP(A13&amp;" US Equity","GROSS_MARGIN"))</f>
        <v>31.913952808418099</v>
      </c>
      <c r="L13" s="6">
        <f>IF(A13="","",_xll.BDP(A13&amp;" US Equity","OPER_MARGIN"))</f>
        <v>14.676657206710145</v>
      </c>
      <c r="M13" s="6" t="str">
        <f>IF(A13="","",_xll.BDP(A13&amp;" US Equity","NET_INCOME_MARGIN"))</f>
        <v>#N/A Invalid Field</v>
      </c>
      <c r="N13" s="6">
        <f>IF(A13="","",_xll.BDP(A13&amp;" US Equity","FREE_CASH_FLOW_YIELD"))</f>
        <v>8.2427933419654131</v>
      </c>
      <c r="O13" s="6">
        <f>IF(A13="","",_xll.BDP(A13&amp;" US Equity","TOT_DEBT_TO_TOT_EQY"))</f>
        <v>25.380336762231725</v>
      </c>
      <c r="P13" s="6">
        <f>IF(A13="","",_xll.BDP(A13&amp;" US Equity","EQY_DVD_YLD_IND"))</f>
        <v>2.91175418940984</v>
      </c>
      <c r="Q13" s="6">
        <f>IF(A13="","",_xll.BDP(A13&amp;" US Equity","BEST_CUR_EV_TO_EBITDA"))</f>
        <v>10.09076937571972</v>
      </c>
      <c r="R13" s="6">
        <f>IF(A13="","",_xll.BDP(A13&amp;" US Equity","PX_TO_BOOK_RATIO"))</f>
        <v>4.4661246292859103</v>
      </c>
      <c r="S13" s="6" t="str">
        <f>IF(A13="","",_xll.BDP(A13&amp;" US Equity","RESEARCH_AND_DEV_TO_REVENUE"))</f>
        <v>#N/A Invalid Field</v>
      </c>
      <c r="T13" s="6" t="str">
        <f>IF(A13="","",_xll.BDP(A13&amp;" US Equity","REVENUE_5YR_CAGR"))</f>
        <v>#N/A Invalid Field</v>
      </c>
      <c r="U13" s="6">
        <f t="shared" si="0"/>
        <v>7.5123052981270519E-2</v>
      </c>
    </row>
    <row r="14" spans="1:21" ht="15" customHeight="1" x14ac:dyDescent="0.25">
      <c r="A14" s="5" t="s">
        <v>33</v>
      </c>
      <c r="B14" s="6" t="str">
        <f>IF(A14="","",_xll.BDP(A14&amp;" US Equity","NAME"))</f>
        <v>SALESFORCE INC</v>
      </c>
      <c r="C14" s="6" t="str">
        <f>IF(A14="","",_xll.BDP(A14&amp;" US Equity","GICS_SECTOR_NAME"))</f>
        <v>Information Technology</v>
      </c>
      <c r="D14" s="6" t="str">
        <f>IF(A14="","",_xll.BDP(A14&amp;" US Equity","GICS_SUB_INDUSTRY_NAME"))</f>
        <v>Application Software</v>
      </c>
      <c r="E14" s="6">
        <f>IF(A14="","",_xll.BDP(A14&amp;" US Equity","PX_LAST"))</f>
        <v>190.84</v>
      </c>
      <c r="F14" s="6">
        <f>IF(A14="","",_xll.BDP(A14&amp;" US Equity","CUR_MKT_CAP")/1000000000)</f>
        <v>178.81708000000003</v>
      </c>
      <c r="G14" s="6">
        <f>IF(A14="","",_xll.BDP(A14&amp;" US Equity","BETA_RAW_OVERRIDABLE"))</f>
        <v>1.334755978091146</v>
      </c>
      <c r="H14" s="6">
        <f>IF(A14="","",_xll.BDP(A14&amp;" US Equity","BEST_PE_RATIO"))</f>
        <v>15.093324897184436</v>
      </c>
      <c r="I14" s="6">
        <f>IF(A14="","",_xll.BDP(A14&amp;" US Equity","RETURN_ON_INV_CAPITAL"))</f>
        <v>9.4487734185729035</v>
      </c>
      <c r="J14" s="6">
        <f>IF(A14="","",_xll.BDP(A14&amp;" US Equity","RETURN_COM_EQY"))</f>
        <v>12.184299765491877</v>
      </c>
      <c r="K14" s="6">
        <f>IF(A14="","",_xll.BDP(A14&amp;" US Equity","GROSS_MARGIN"))</f>
        <v>77.192241720543606</v>
      </c>
      <c r="L14" s="6">
        <f>IF(A14="","",_xll.BDP(A14&amp;" US Equity","OPER_MARGIN"))</f>
        <v>19.013062409288825</v>
      </c>
      <c r="M14" s="6" t="str">
        <f>IF(A14="","",_xll.BDP(A14&amp;" US Equity","NET_INCOME_MARGIN"))</f>
        <v>#N/A Invalid Field</v>
      </c>
      <c r="N14" s="6">
        <f>IF(A14="","",_xll.BDP(A14&amp;" US Equity","FREE_CASH_FLOW_YIELD"))</f>
        <v>7.0500016264636187</v>
      </c>
      <c r="O14" s="6">
        <f>IF(A14="","",_xll.BDP(A14&amp;" US Equity","TOT_DEBT_TO_TOT_EQY"))</f>
        <v>19.730927042976475</v>
      </c>
      <c r="P14" s="6">
        <f>IF(A14="","",_xll.BDP(A14&amp;" US Equity","EQY_DVD_YLD_IND"))</f>
        <v>0.87193462289471557</v>
      </c>
      <c r="Q14" s="6">
        <f>IF(A14="","",_xll.BDP(A14&amp;" US Equity","BEST_CUR_EV_TO_EBITDA"))</f>
        <v>9.3342945491634275</v>
      </c>
      <c r="R14" s="6">
        <f>IF(A14="","",_xll.BDP(A14&amp;" US Equity","PX_TO_BOOK_RATIO"))</f>
        <v>2.9951396436296123</v>
      </c>
      <c r="S14" s="6" t="str">
        <f>IF(A14="","",_xll.BDP(A14&amp;" US Equity","RESEARCH_AND_DEV_TO_REVENUE"))</f>
        <v>#N/A Invalid Field</v>
      </c>
      <c r="T14" s="6" t="str">
        <f>IF(A14="","",_xll.BDP(A14&amp;" US Equity","REVENUE_5YR_CAGR"))</f>
        <v>#N/A Invalid Field</v>
      </c>
      <c r="U14" s="6">
        <f t="shared" si="0"/>
        <v>0.1117377989045573</v>
      </c>
    </row>
    <row r="15" spans="1:21" ht="15" customHeight="1" x14ac:dyDescent="0.25">
      <c r="A15" s="5" t="s">
        <v>34</v>
      </c>
      <c r="B15" s="6" t="str">
        <f>IF(A15="","",_xll.BDP(A15&amp;" US Equity","NAME"))</f>
        <v>ADOBE INC</v>
      </c>
      <c r="C15" s="6" t="str">
        <f>IF(A15="","",_xll.BDP(A15&amp;" US Equity","GICS_SECTOR_NAME"))</f>
        <v>Information Technology</v>
      </c>
      <c r="D15" s="6" t="str">
        <f>IF(A15="","",_xll.BDP(A15&amp;" US Equity","GICS_SUB_INDUSTRY_NAME"))</f>
        <v>Application Software</v>
      </c>
      <c r="E15" s="6">
        <f>IF(A15="","",_xll.BDP(A15&amp;" US Equity","PX_LAST"))</f>
        <v>264.16500000000002</v>
      </c>
      <c r="F15" s="6">
        <f>IF(A15="","",_xll.BDP(A15&amp;" US Equity","CUR_MKT_CAP")/1000000000)</f>
        <v>108.43973250000002</v>
      </c>
      <c r="G15" s="6">
        <f>IF(A15="","",_xll.BDP(A15&amp;" US Equity","BETA_RAW_OVERRIDABLE"))</f>
        <v>1.0078306122661502</v>
      </c>
      <c r="H15" s="6">
        <f>IF(A15="","",_xll.BDP(A15&amp;" US Equity","BEST_PE_RATIO"))</f>
        <v>11.231982652323653</v>
      </c>
      <c r="I15" s="6">
        <f>IF(A15="","",_xll.BDP(A15&amp;" US Equity","RETURN_ON_INV_CAPITAL"))</f>
        <v>33.222853022797075</v>
      </c>
      <c r="J15" s="6">
        <f>IF(A15="","",_xll.BDP(A15&amp;" US Equity","RETURN_COM_EQY"))</f>
        <v>55.425995024875618</v>
      </c>
      <c r="K15" s="6">
        <f>IF(A15="","",_xll.BDP(A15&amp;" US Equity","GROSS_MARGIN"))</f>
        <v>89.267533341747651</v>
      </c>
      <c r="L15" s="6">
        <f>IF(A15="","",_xll.BDP(A15&amp;" US Equity","OPER_MARGIN"))</f>
        <v>36.627540073204592</v>
      </c>
      <c r="M15" s="6" t="str">
        <f>IF(A15="","",_xll.BDP(A15&amp;" US Equity","NET_INCOME_MARGIN"))</f>
        <v>#N/A Invalid Field</v>
      </c>
      <c r="N15" s="6">
        <f>IF(A15="","",_xll.BDP(A15&amp;" US Equity","FREE_CASH_FLOW_YIELD"))</f>
        <v>8.7690572838375402</v>
      </c>
      <c r="O15" s="6">
        <f>IF(A15="","",_xll.BDP(A15&amp;" US Equity","TOT_DEBT_TO_TOT_EQY"))</f>
        <v>57.196937107459348</v>
      </c>
      <c r="P15" s="6" t="str">
        <f>IF(A15="","",_xll.BDP(A15&amp;" US Equity","EQY_DVD_YLD_IND"))</f>
        <v>#N/A N/A</v>
      </c>
      <c r="Q15" s="6">
        <f>IF(A15="","",_xll.BDP(A15&amp;" US Equity","BEST_CUR_EV_TO_EBITDA"))</f>
        <v>8.6890312238983647</v>
      </c>
      <c r="R15" s="6">
        <f>IF(A15="","",_xll.BDP(A15&amp;" US Equity","PX_TO_BOOK_RATIO"))</f>
        <v>9.3865739076875787</v>
      </c>
      <c r="S15" s="6" t="str">
        <f>IF(A15="","",_xll.BDP(A15&amp;" US Equity","RESEARCH_AND_DEV_TO_REVENUE"))</f>
        <v>#N/A Invalid Field</v>
      </c>
      <c r="T15" s="6" t="str">
        <f>IF(A15="","",_xll.BDP(A15&amp;" US Equity","REVENUE_5YR_CAGR"))</f>
        <v>#N/A Invalid Field</v>
      </c>
      <c r="U15" s="6">
        <f t="shared" si="0"/>
        <v>9.5391530613307518E-2</v>
      </c>
    </row>
    <row r="16" spans="1:21" ht="15" customHeight="1" x14ac:dyDescent="0.25">
      <c r="A16" s="5" t="s">
        <v>35</v>
      </c>
      <c r="B16" s="6" t="str">
        <f>IF(A16="","",_xll.BDP(A16&amp;" US Equity","NAME"))</f>
        <v>SERVICENOW INC</v>
      </c>
      <c r="C16" s="6" t="str">
        <f>IF(A16="","",_xll.BDP(A16&amp;" US Equity","GICS_SECTOR_NAME"))</f>
        <v>Information Technology</v>
      </c>
      <c r="D16" s="6" t="str">
        <f>IF(A16="","",_xll.BDP(A16&amp;" US Equity","GICS_SUB_INDUSTRY_NAME"))</f>
        <v>Systems Software</v>
      </c>
      <c r="E16" s="6">
        <f>IF(A16="","",_xll.BDP(A16&amp;" US Equity","PX_LAST"))</f>
        <v>107</v>
      </c>
      <c r="F16" s="6">
        <f>IF(A16="","",_xll.BDP(A16&amp;" US Equity","CUR_MKT_CAP")/1000000000)</f>
        <v>111.9218954</v>
      </c>
      <c r="G16" s="6">
        <f>IF(A16="","",_xll.BDP(A16&amp;" US Equity","BETA_RAW_OVERRIDABLE"))</f>
        <v>1.4089862158800046</v>
      </c>
      <c r="H16" s="6">
        <f>IF(A16="","",_xll.BDP(A16&amp;" US Equity","BEST_PE_RATIO"))</f>
        <v>25.665627248740702</v>
      </c>
      <c r="I16" s="6">
        <f>IF(A16="","",_xll.BDP(A16&amp;" US Equity","RETURN_ON_INV_CAPITAL"))</f>
        <v>10.202796734625082</v>
      </c>
      <c r="J16" s="6">
        <f>IF(A16="","",_xll.BDP(A16&amp;" US Equity","RETURN_COM_EQY"))</f>
        <v>15.487529349222523</v>
      </c>
      <c r="K16" s="6">
        <f>IF(A16="","",_xll.BDP(A16&amp;" US Equity","GROSS_MARGIN"))</f>
        <v>77.534267208917001</v>
      </c>
      <c r="L16" s="6">
        <f>IF(A16="","",_xll.BDP(A16&amp;" US Equity","OPER_MARGIN"))</f>
        <v>13.737008585630367</v>
      </c>
      <c r="M16" s="6" t="str">
        <f>IF(A16="","",_xll.BDP(A16&amp;" US Equity","NET_INCOME_MARGIN"))</f>
        <v>#N/A Invalid Field</v>
      </c>
      <c r="N16" s="6">
        <f>IF(A16="","",_xll.BDP(A16&amp;" US Equity","FREE_CASH_FLOW_YIELD"))</f>
        <v>4.1242633430430944</v>
      </c>
      <c r="O16" s="6">
        <f>IF(A16="","",_xll.BDP(A16&amp;" US Equity","TOT_DEBT_TO_TOT_EQY"))</f>
        <v>18.535945695772909</v>
      </c>
      <c r="P16" s="6" t="str">
        <f>IF(A16="","",_xll.BDP(A16&amp;" US Equity","EQY_DVD_YLD_IND"))</f>
        <v>#N/A N/A</v>
      </c>
      <c r="Q16" s="6">
        <f>IF(A16="","",_xll.BDP(A16&amp;" US Equity","BEST_CUR_EV_TO_EBITDA"))</f>
        <v>17.148487423163306</v>
      </c>
      <c r="R16" s="6">
        <f>IF(A16="","",_xll.BDP(A16&amp;" US Equity","PX_TO_BOOK_RATIO"))</f>
        <v>8.6438323147746381</v>
      </c>
      <c r="S16" s="6" t="str">
        <f>IF(A16="","",_xll.BDP(A16&amp;" US Equity","RESEARCH_AND_DEV_TO_REVENUE"))</f>
        <v>#N/A Invalid Field</v>
      </c>
      <c r="T16" s="6" t="str">
        <f>IF(A16="","",_xll.BDP(A16&amp;" US Equity","REVENUE_5YR_CAGR"))</f>
        <v>#N/A Invalid Field</v>
      </c>
      <c r="U16" s="6">
        <f t="shared" si="0"/>
        <v>0.11544931079400023</v>
      </c>
    </row>
    <row r="17" spans="1:21" ht="15" customHeight="1" x14ac:dyDescent="0.25">
      <c r="A17" s="5" t="s">
        <v>36</v>
      </c>
      <c r="B17" s="6" t="str">
        <f>IF(A17="","",_xll.BDP(A17&amp;" US Equity","NAME"))</f>
        <v>WESTERN UNION CO</v>
      </c>
      <c r="C17" s="6" t="str">
        <f>IF(A17="","",_xll.BDP(A17&amp;" US Equity","GICS_SECTOR_NAME"))</f>
        <v>Financials</v>
      </c>
      <c r="D17" s="6" t="str">
        <f>IF(A17="","",_xll.BDP(A17&amp;" US Equity","GICS_SUB_INDUSTRY_NAME"))</f>
        <v>Transaction &amp; Payment Processi</v>
      </c>
      <c r="E17" s="6">
        <f>IF(A17="","",_xll.BDP(A17&amp;" US Equity","PX_LAST"))</f>
        <v>9.67</v>
      </c>
      <c r="F17" s="6">
        <f>IF(A17="","",_xll.BDP(A17&amp;" US Equity","CUR_MKT_CAP")/1000000000)</f>
        <v>3.0735602313500001</v>
      </c>
      <c r="G17" s="6">
        <f>IF(A17="","",_xll.BDP(A17&amp;" US Equity","BETA_RAW_OVERRIDABLE"))</f>
        <v>0.41292356227057059</v>
      </c>
      <c r="H17" s="6">
        <f>IF(A17="","",_xll.BDP(A17&amp;" US Equity","BEST_PE_RATIO"))</f>
        <v>5.5131128848346638</v>
      </c>
      <c r="I17" s="6">
        <f>IF(A17="","",_xll.BDP(A17&amp;" US Equity","RETURN_ON_INV_CAPITAL"))</f>
        <v>24.985068577910198</v>
      </c>
      <c r="J17" s="6">
        <f>IF(A17="","",_xll.BDP(A17&amp;" US Equity","RETURN_COM_EQY"))</f>
        <v>97.699765540840261</v>
      </c>
      <c r="K17" s="6">
        <f>IF(A17="","",_xll.BDP(A17&amp;" US Equity","GROSS_MARGIN"))</f>
        <v>37.750908615815845</v>
      </c>
      <c r="L17" s="6">
        <f>IF(A17="","",_xll.BDP(A17&amp;" US Equity","OPER_MARGIN"))</f>
        <v>17.241133572463596</v>
      </c>
      <c r="M17" s="6" t="str">
        <f>IF(A17="","",_xll.BDP(A17&amp;" US Equity","NET_INCOME_MARGIN"))</f>
        <v>#N/A Invalid Field</v>
      </c>
      <c r="N17" s="6">
        <f>IF(A17="","",_xll.BDP(A17&amp;" US Equity","FREE_CASH_FLOW_YIELD"))</f>
        <v>15.251366335458142</v>
      </c>
      <c r="O17" s="6">
        <f>IF(A17="","",_xll.BDP(A17&amp;" US Equity","TOT_DEBT_TO_TOT_EQY"))</f>
        <v>323.25317370213639</v>
      </c>
      <c r="P17" s="6">
        <f>IF(A17="","",_xll.BDP(A17&amp;" US Equity","EQY_DVD_YLD_IND"))</f>
        <v>9.7207859112286901</v>
      </c>
      <c r="Q17" s="6">
        <f>IF(A17="","",_xll.BDP(A17&amp;" US Equity","BEST_CUR_EV_TO_EBITDA"))</f>
        <v>4.9095145283527382</v>
      </c>
      <c r="R17" s="6">
        <f>IF(A17="","",_xll.BDP(A17&amp;" US Equity","PX_TO_BOOK_RATIO"))</f>
        <v>3.3281770307970842</v>
      </c>
      <c r="S17" s="6" t="str">
        <f>IF(A17="","",_xll.BDP(A17&amp;" US Equity","RESEARCH_AND_DEV_TO_REVENUE"))</f>
        <v>#N/A Invalid Field</v>
      </c>
      <c r="T17" s="6" t="str">
        <f>IF(A17="","",_xll.BDP(A17&amp;" US Equity","REVENUE_5YR_CAGR"))</f>
        <v>#N/A Invalid Field</v>
      </c>
      <c r="U17" s="6">
        <f t="shared" si="0"/>
        <v>6.5646178113528533E-2</v>
      </c>
    </row>
    <row r="18" spans="1:21" ht="15" customHeight="1" x14ac:dyDescent="0.25">
      <c r="A18" s="5" t="s">
        <v>37</v>
      </c>
      <c r="B18" s="6" t="str">
        <f>IF(A18="","",_xll.BDP(A18&amp;" US Equity","NAME"))</f>
        <v>INFOSYS LTD-SP ADR</v>
      </c>
      <c r="C18" s="6" t="str">
        <f>IF(A18="","",_xll.BDP(A18&amp;" US Equity","GICS_SECTOR_NAME"))</f>
        <v>Information Technology</v>
      </c>
      <c r="D18" s="6" t="str">
        <f>IF(A18="","",_xll.BDP(A18&amp;" US Equity","GICS_SUB_INDUSTRY_NAME"))</f>
        <v>IT Consulting &amp; Other Services</v>
      </c>
      <c r="E18" s="6">
        <f>IF(A18="","",_xll.BDP(A18&amp;" US Equity","PX_LAST"))</f>
        <v>14.645</v>
      </c>
      <c r="F18" s="6">
        <f>IF(A18="","",_xll.BDP(A18&amp;" US Equity","CUR_MKT_CAP")/1000000000)</f>
        <v>59.380712592450003</v>
      </c>
      <c r="G18" s="6">
        <f>IF(A18="","",_xll.BDP(A18&amp;" US Equity","BETA_RAW_OVERRIDABLE"))</f>
        <v>0.70471638885017607</v>
      </c>
      <c r="H18" s="6">
        <f>IF(A18="","",_xll.BDP(A18&amp;" US Equity","BEST_PE_RATIO"))</f>
        <v>17.610706238342331</v>
      </c>
      <c r="I18" s="6">
        <f>IF(A18="","",_xll.BDP(A18&amp;" US Equity","RETURN_ON_INV_CAPITAL"))</f>
        <v>25.61147205371519</v>
      </c>
      <c r="J18" s="6">
        <f>IF(A18="","",_xll.BDP(A18&amp;" US Equity","RETURN_COM_EQY"))</f>
        <v>32.655062515322378</v>
      </c>
      <c r="K18" s="6">
        <f>IF(A18="","",_xll.BDP(A18&amp;" US Equity","GROSS_MARGIN"))</f>
        <v>30.457696791214182</v>
      </c>
      <c r="L18" s="6">
        <f>IF(A18="","",_xll.BDP(A18&amp;" US Equity","OPER_MARGIN"))</f>
        <v>21.12031412970121</v>
      </c>
      <c r="M18" s="6" t="str">
        <f>IF(A18="","",_xll.BDP(A18&amp;" US Equity","NET_INCOME_MARGIN"))</f>
        <v>#N/A Invalid Field</v>
      </c>
      <c r="N18" s="6" t="str">
        <f>IF(A18="","",_xll.BDP(A18&amp;" US Equity","FREE_CASH_FLOW_YIELD"))</f>
        <v>#N/A Field Not Applicable</v>
      </c>
      <c r="O18" s="6">
        <f>IF(A18="","",_xll.BDP(A18&amp;" US Equity","TOT_DEBT_TO_TOT_EQY"))</f>
        <v>8.5517083666829521</v>
      </c>
      <c r="P18" s="6">
        <f>IF(A18="","",_xll.BDP(A18&amp;" US Equity","EQY_DVD_YLD_IND"))</f>
        <v>3.5355411808252253</v>
      </c>
      <c r="Q18" s="6">
        <f>IF(A18="","",_xll.BDP(A18&amp;" US Equity","BEST_CUR_EV_TO_EBITDA"))</f>
        <v>11.589756313097562</v>
      </c>
      <c r="R18" s="6" t="str">
        <f>IF(A18="","",_xll.BDP(A18&amp;" US Equity","PX_TO_BOOK_RATIO"))</f>
        <v>#N/A Field Not Applicable</v>
      </c>
      <c r="S18" s="6" t="str">
        <f>IF(A18="","",_xll.BDP(A18&amp;" US Equity","RESEARCH_AND_DEV_TO_REVENUE"))</f>
        <v>#N/A Invalid Field</v>
      </c>
      <c r="T18" s="6" t="str">
        <f>IF(A18="","",_xll.BDP(A18&amp;" US Equity","REVENUE_5YR_CAGR"))</f>
        <v>#N/A Invalid Field</v>
      </c>
      <c r="U18" s="6">
        <f t="shared" si="0"/>
        <v>8.0235819442508793E-2</v>
      </c>
    </row>
    <row r="19" spans="1:21" ht="15" customHeight="1" x14ac:dyDescent="0.25">
      <c r="A19" s="5" t="s">
        <v>38</v>
      </c>
      <c r="B19" s="6" t="str">
        <f>IF(A19="","",_xll.BDP(A19&amp;" US Equity","NAME"))</f>
        <v>UNITEDHEALTH GROUP INC</v>
      </c>
      <c r="C19" s="6" t="str">
        <f>IF(A19="","",_xll.BDP(A19&amp;" US Equity","GICS_SECTOR_NAME"))</f>
        <v>Health Care</v>
      </c>
      <c r="D19" s="6" t="str">
        <f>IF(A19="","",_xll.BDP(A19&amp;" US Equity","GICS_SUB_INDUSTRY_NAME"))</f>
        <v>Managed Health Care</v>
      </c>
      <c r="E19" s="6">
        <f>IF(A19="","",_xll.BDP(A19&amp;" US Equity","PX_LAST"))</f>
        <v>287.72000000000003</v>
      </c>
      <c r="F19" s="6">
        <f>IF(A19="","",_xll.BDP(A19&amp;" US Equity","CUR_MKT_CAP")/1000000000)</f>
        <v>260.62788774640006</v>
      </c>
      <c r="G19" s="6">
        <f>IF(A19="","",_xll.BDP(A19&amp;" US Equity","BETA_RAW_OVERRIDABLE"))</f>
        <v>0.123937562344001</v>
      </c>
      <c r="H19" s="6">
        <f>IF(A19="","",_xll.BDP(A19&amp;" US Equity","BEST_PE_RATIO"))</f>
        <v>16.102529661965523</v>
      </c>
      <c r="I19" s="6">
        <f>IF(A19="","",_xll.BDP(A19&amp;" US Equity","RETURN_ON_INV_CAPITAL"))</f>
        <v>8.8677876399707554</v>
      </c>
      <c r="J19" s="6">
        <f>IF(A19="","",_xll.BDP(A19&amp;" US Equity","RETURN_COM_EQY"))</f>
        <v>12.509598024363417</v>
      </c>
      <c r="K19" s="6">
        <f>IF(A19="","",_xll.BDP(A19&amp;" US Equity","GROSS_MARGIN"))</f>
        <v>18.526164797672749</v>
      </c>
      <c r="L19" s="6">
        <f>IF(A19="","",_xll.BDP(A19&amp;" US Equity","OPER_MARGIN"))</f>
        <v>4.237130977038075</v>
      </c>
      <c r="M19" s="6" t="str">
        <f>IF(A19="","",_xll.BDP(A19&amp;" US Equity","NET_INCOME_MARGIN"))</f>
        <v>#N/A Invalid Field</v>
      </c>
      <c r="N19" s="6">
        <f>IF(A19="","",_xll.BDP(A19&amp;" US Equity","FREE_CASH_FLOW_YIELD"))</f>
        <v>6.1522598821142847</v>
      </c>
      <c r="O19" s="6">
        <f>IF(A19="","",_xll.BDP(A19&amp;" US Equity","TOT_DEBT_TO_TOT_EQY"))</f>
        <v>77.080178567916775</v>
      </c>
      <c r="P19" s="6">
        <f>IF(A19="","",_xll.BDP(A19&amp;" US Equity","EQY_DVD_YLD_IND"))</f>
        <v>3.0724315836882696</v>
      </c>
      <c r="Q19" s="6">
        <f>IF(A19="","",_xll.BDP(A19&amp;" US Equity","BEST_CUR_EV_TO_EBITDA"))</f>
        <v>11.199326830278734</v>
      </c>
      <c r="R19" s="6">
        <f>IF(A19="","",_xll.BDP(A19&amp;" US Equity","PX_TO_BOOK_RATIO"))</f>
        <v>2.6039353467095618</v>
      </c>
      <c r="S19" s="6" t="str">
        <f>IF(A19="","",_xll.BDP(A19&amp;" US Equity","RESEARCH_AND_DEV_TO_REVENUE"))</f>
        <v>#N/A Invalid Field</v>
      </c>
      <c r="T19" s="6" t="str">
        <f>IF(A19="","",_xll.BDP(A19&amp;" US Equity","REVENUE_5YR_CAGR"))</f>
        <v>#N/A Invalid Field</v>
      </c>
      <c r="U19" s="6">
        <f t="shared" si="0"/>
        <v>5.1196878117200049E-2</v>
      </c>
    </row>
    <row r="20" spans="1:21" ht="15" customHeight="1" x14ac:dyDescent="0.25">
      <c r="A20" s="5" t="s">
        <v>39</v>
      </c>
      <c r="B20" s="6" t="str">
        <f>IF(A20="","",_xll.BDP(A20&amp;" US Equity","NAME"))</f>
        <v>JPMORGAN CHASE &amp; CO</v>
      </c>
      <c r="C20" s="6" t="str">
        <f>IF(A20="","",_xll.BDP(A20&amp;" US Equity","GICS_SECTOR_NAME"))</f>
        <v>Financials</v>
      </c>
      <c r="D20" s="6" t="str">
        <f>IF(A20="","",_xll.BDP(A20&amp;" US Equity","GICS_SUB_INDUSTRY_NAME"))</f>
        <v>Diversified Banks</v>
      </c>
      <c r="E20" s="6">
        <f>IF(A20="","",_xll.BDP(A20&amp;" US Equity","PX_LAST"))</f>
        <v>303.7</v>
      </c>
      <c r="F20" s="6">
        <f>IF(A20="","",_xll.BDP(A20&amp;" US Equity","CUR_MKT_CAP")/1000000000)</f>
        <v>818.83594000000005</v>
      </c>
      <c r="G20" s="6">
        <f>IF(A20="","",_xll.BDP(A20&amp;" US Equity","BETA_RAW_OVERRIDABLE"))</f>
        <v>1.1876628287764819</v>
      </c>
      <c r="H20" s="6">
        <f>IF(A20="","",_xll.BDP(A20&amp;" US Equity","BEST_PE_RATIO"))</f>
        <v>14.293109939759034</v>
      </c>
      <c r="I20" s="6">
        <f>IF(A20="","",_xll.BDP(A20&amp;" US Equity","RETURN_ON_INV_CAPITAL"))</f>
        <v>5.1274509422669485</v>
      </c>
      <c r="J20" s="6">
        <f>IF(A20="","",_xll.BDP(A20&amp;" US Equity","RETURN_COM_EQY"))</f>
        <v>16.692824624756973</v>
      </c>
      <c r="K20" s="6" t="str">
        <f>IF(A20="","",_xll.BDP(A20&amp;" US Equity","GROSS_MARGIN"))</f>
        <v>#N/A N/A</v>
      </c>
      <c r="L20" s="6">
        <f>IF(A20="","",_xll.BDP(A20&amp;" US Equity","OPER_MARGIN"))</f>
        <v>39.789637538572848</v>
      </c>
      <c r="M20" s="6" t="str">
        <f>IF(A20="","",_xll.BDP(A20&amp;" US Equity","NET_INCOME_MARGIN"))</f>
        <v>#N/A Invalid Field</v>
      </c>
      <c r="N20" s="6" t="str">
        <f>IF(A20="","",_xll.BDP(A20&amp;" US Equity","FREE_CASH_FLOW_YIELD"))</f>
        <v>#N/A N/A</v>
      </c>
      <c r="O20" s="6">
        <f>IF(A20="","",_xll.BDP(A20&amp;" US Equity","TOT_DEBT_TO_TOT_EQY"))</f>
        <v>314.54179749364027</v>
      </c>
      <c r="P20" s="6">
        <f>IF(A20="","",_xll.BDP(A20&amp;" US Equity","EQY_DVD_YLD_IND"))</f>
        <v>1.975633849193283</v>
      </c>
      <c r="Q20" s="6" t="str">
        <f>IF(A20="","",_xll.BDP(A20&amp;" US Equity","BEST_CUR_EV_TO_EBITDA"))</f>
        <v>#N/A N/A</v>
      </c>
      <c r="R20" s="6">
        <f>IF(A20="","",_xll.BDP(A20&amp;" US Equity","PX_TO_BOOK_RATIO"))</f>
        <v>2.3915090930965226</v>
      </c>
      <c r="S20" s="6" t="str">
        <f>IF(A20="","",_xll.BDP(A20&amp;" US Equity","RESEARCH_AND_DEV_TO_REVENUE"))</f>
        <v>#N/A Invalid Field</v>
      </c>
      <c r="T20" s="6" t="str">
        <f>IF(A20="","",_xll.BDP(A20&amp;" US Equity","REVENUE_5YR_CAGR"))</f>
        <v>#N/A Invalid Field</v>
      </c>
      <c r="U20" s="6">
        <f t="shared" si="0"/>
        <v>0.1043831414388241</v>
      </c>
    </row>
    <row r="21" spans="1:21" ht="15" customHeight="1" x14ac:dyDescent="0.25">
      <c r="A21" s="5" t="s">
        <v>40</v>
      </c>
      <c r="B21" s="6" t="str">
        <f>IF(A21="","",_xll.BDP(A21&amp;" US Equity","NAME"))</f>
        <v>BLACKROCK INC</v>
      </c>
      <c r="C21" s="6" t="str">
        <f>IF(A21="","",_xll.BDP(A21&amp;" US Equity","GICS_SECTOR_NAME"))</f>
        <v>Financials</v>
      </c>
      <c r="D21" s="6" t="str">
        <f>IF(A21="","",_xll.BDP(A21&amp;" US Equity","GICS_SUB_INDUSTRY_NAME"))</f>
        <v>Asset Management &amp; Custody Ban</v>
      </c>
      <c r="E21" s="6">
        <f>IF(A21="","",_xll.BDP(A21&amp;" US Equity","PX_LAST"))</f>
        <v>1068.125</v>
      </c>
      <c r="F21" s="6">
        <f>IF(A21="","",_xll.BDP(A21&amp;" US Equity","CUR_MKT_CAP")/1000000000)</f>
        <v>174.62069273937496</v>
      </c>
      <c r="G21" s="6">
        <f>IF(A21="","",_xll.BDP(A21&amp;" US Equity","BETA_RAW_OVERRIDABLE"))</f>
        <v>1.0602188447353489</v>
      </c>
      <c r="H21" s="6">
        <f>IF(A21="","",_xll.BDP(A21&amp;" US Equity","BEST_PE_RATIO"))</f>
        <v>19.714741874157884</v>
      </c>
      <c r="I21" s="6">
        <f>IF(A21="","",_xll.BDP(A21&amp;" US Equity","RETURN_ON_INV_CAPITAL"))</f>
        <v>8.8954186774548187</v>
      </c>
      <c r="J21" s="6">
        <f>IF(A21="","",_xll.BDP(A21&amp;" US Equity","RETURN_COM_EQY"))</f>
        <v>12.608457346143107</v>
      </c>
      <c r="K21" s="6" t="str">
        <f>IF(A21="","",_xll.BDP(A21&amp;" US Equity","GROSS_MARGIN"))</f>
        <v>#N/A N/A</v>
      </c>
      <c r="L21" s="6">
        <f>IF(A21="","",_xll.BDP(A21&amp;" US Equity","OPER_MARGIN"))</f>
        <v>31.710439378923027</v>
      </c>
      <c r="M21" s="6" t="str">
        <f>IF(A21="","",_xll.BDP(A21&amp;" US Equity","NET_INCOME_MARGIN"))</f>
        <v>#N/A Invalid Field</v>
      </c>
      <c r="N21" s="6">
        <f>IF(A21="","",_xll.BDP(A21&amp;" US Equity","FREE_CASH_FLOW_YIELD"))</f>
        <v>2.3766009044279346</v>
      </c>
      <c r="O21" s="6">
        <f>IF(A21="","",_xll.BDP(A21&amp;" US Equity","TOT_DEBT_TO_TOT_EQY"))</f>
        <v>28.815722824435213</v>
      </c>
      <c r="P21" s="6">
        <f>IF(A21="","",_xll.BDP(A21&amp;" US Equity","EQY_DVD_YLD_IND"))</f>
        <v>2.1458162739654951</v>
      </c>
      <c r="Q21" s="6">
        <f>IF(A21="","",_xll.BDP(A21&amp;" US Equity","BEST_CUR_EV_TO_EBITDA"))</f>
        <v>15.121755336002535</v>
      </c>
      <c r="R21" s="6">
        <f>IF(A21="","",_xll.BDP(A21&amp;" US Equity","PX_TO_BOOK_RATIO"))</f>
        <v>2.9844216878793746</v>
      </c>
      <c r="S21" s="6" t="str">
        <f>IF(A21="","",_xll.BDP(A21&amp;" US Equity","RESEARCH_AND_DEV_TO_REVENUE"))</f>
        <v>#N/A Invalid Field</v>
      </c>
      <c r="T21" s="6" t="str">
        <f>IF(A21="","",_xll.BDP(A21&amp;" US Equity","REVENUE_5YR_CAGR"))</f>
        <v>#N/A Invalid Field</v>
      </c>
      <c r="U21" s="6">
        <f t="shared" si="0"/>
        <v>9.8010942236767443E-2</v>
      </c>
    </row>
    <row r="22" spans="1:21" ht="15" customHeight="1" x14ac:dyDescent="0.25">
      <c r="A22" s="5" t="s">
        <v>41</v>
      </c>
      <c r="B22" s="6" t="str">
        <f>IF(A22="","",_xll.BDP(A22&amp;" US Equity","NAME"))</f>
        <v>ELI LILLY &amp; CO</v>
      </c>
      <c r="C22" s="6" t="str">
        <f>IF(A22="","",_xll.BDP(A22&amp;" US Equity","GICS_SECTOR_NAME"))</f>
        <v>Health Care</v>
      </c>
      <c r="D22" s="6" t="str">
        <f>IF(A22="","",_xll.BDP(A22&amp;" US Equity","GICS_SUB_INDUSTRY_NAME"))</f>
        <v>Pharmaceuticals</v>
      </c>
      <c r="E22" s="6">
        <f>IF(A22="","",_xll.BDP(A22&amp;" US Equity","PX_LAST"))</f>
        <v>1044.21</v>
      </c>
      <c r="F22" s="6">
        <f>IF(A22="","",_xll.BDP(A22&amp;" US Equity","CUR_MKT_CAP")/1000000000)</f>
        <v>985.06325153820012</v>
      </c>
      <c r="G22" s="6">
        <f>IF(A22="","",_xll.BDP(A22&amp;" US Equity","BETA_RAW_OVERRIDABLE"))</f>
        <v>0.67392714291869071</v>
      </c>
      <c r="H22" s="6">
        <f>IF(A22="","",_xll.BDP(A22&amp;" US Equity","BEST_PE_RATIO"))</f>
        <v>30.621096155537963</v>
      </c>
      <c r="I22" s="6">
        <f>IF(A22="","",_xll.BDP(A22&amp;" US Equity","RETURN_ON_INV_CAPITAL"))</f>
        <v>30.993322877849334</v>
      </c>
      <c r="J22" s="6">
        <f>IF(A22="","",_xll.BDP(A22&amp;" US Equity","RETURN_COM_EQY"))</f>
        <v>96.820943751922641</v>
      </c>
      <c r="K22" s="6">
        <f>IF(A22="","",_xll.BDP(A22&amp;" US Equity","GROSS_MARGIN"))</f>
        <v>83.043618343331431</v>
      </c>
      <c r="L22" s="6">
        <f>IF(A22="","",_xll.BDP(A22&amp;" US Equity","OPER_MARGIN"))</f>
        <v>40.353488086653677</v>
      </c>
      <c r="M22" s="6" t="str">
        <f>IF(A22="","",_xll.BDP(A22&amp;" US Equity","NET_INCOME_MARGIN"))</f>
        <v>#N/A Invalid Field</v>
      </c>
      <c r="N22" s="6">
        <f>IF(A22="","",_xll.BDP(A22&amp;" US Equity","FREE_CASH_FLOW_YIELD"))</f>
        <v>0.9890817775833094</v>
      </c>
      <c r="O22" s="6">
        <f>IF(A22="","",_xll.BDP(A22&amp;" US Equity","TOT_DEBT_TO_TOT_EQY"))</f>
        <v>243.77645113372014</v>
      </c>
      <c r="P22" s="6">
        <f>IF(A22="","",_xll.BDP(A22&amp;" US Equity","EQY_DVD_YLD_IND"))</f>
        <v>0.66270195423276401</v>
      </c>
      <c r="Q22" s="6">
        <f>IF(A22="","",_xll.BDP(A22&amp;" US Equity","BEST_CUR_EV_TO_EBITDA"))</f>
        <v>23.945715282332426</v>
      </c>
      <c r="R22" s="6">
        <f>IF(A22="","",_xll.BDP(A22&amp;" US Equity","PX_TO_BOOK_RATIO"))</f>
        <v>41.509861753648551</v>
      </c>
      <c r="S22" s="6" t="str">
        <f>IF(A22="","",_xll.BDP(A22&amp;" US Equity","RESEARCH_AND_DEV_TO_REVENUE"))</f>
        <v>#N/A Invalid Field</v>
      </c>
      <c r="T22" s="6" t="str">
        <f>IF(A22="","",_xll.BDP(A22&amp;" US Equity","REVENUE_5YR_CAGR"))</f>
        <v>#N/A Invalid Field</v>
      </c>
      <c r="U22" s="6">
        <f t="shared" si="0"/>
        <v>7.8696357145934537E-2</v>
      </c>
    </row>
    <row r="23" spans="1:21" ht="15" customHeight="1" x14ac:dyDescent="0.25">
      <c r="A23" s="5" t="s">
        <v>42</v>
      </c>
      <c r="B23" s="6" t="str">
        <f>IF(A23="","",_xll.BDP(A23&amp;" US Equity","NAME"))</f>
        <v>EXXON MOBIL CORP</v>
      </c>
      <c r="C23" s="6" t="str">
        <f>IF(A23="","",_xll.BDP(A23&amp;" US Equity","GICS_SECTOR_NAME"))</f>
        <v>Energy</v>
      </c>
      <c r="D23" s="6" t="str">
        <f>IF(A23="","",_xll.BDP(A23&amp;" US Equity","GICS_SUB_INDUSTRY_NAME"))</f>
        <v>Integrated Oil &amp; Gas</v>
      </c>
      <c r="E23" s="6">
        <f>IF(A23="","",_xll.BDP(A23&amp;" US Equity","PX_LAST"))</f>
        <v>149.51</v>
      </c>
      <c r="F23" s="6">
        <f>IF(A23="","",_xll.BDP(A23&amp;" US Equity","CUR_MKT_CAP")/1000000000)</f>
        <v>630.50843094913989</v>
      </c>
      <c r="G23" s="6">
        <f>IF(A23="","",_xll.BDP(A23&amp;" US Equity","BETA_RAW_OVERRIDABLE"))</f>
        <v>0.29309121397400117</v>
      </c>
      <c r="H23" s="6">
        <f>IF(A23="","",_xll.BDP(A23&amp;" US Equity","BEST_PE_RATIO"))</f>
        <v>22.126683439396178</v>
      </c>
      <c r="I23" s="6">
        <f>IF(A23="","",_xll.BDP(A23&amp;" US Equity","RETURN_ON_INV_CAPITAL"))</f>
        <v>6.8254762712275872</v>
      </c>
      <c r="J23" s="6">
        <f>IF(A23="","",_xll.BDP(A23&amp;" US Equity","RETURN_COM_EQY"))</f>
        <v>11.028291444509655</v>
      </c>
      <c r="K23" s="6">
        <f>IF(A23="","",_xll.BDP(A23&amp;" US Equity","GROSS_MARGIN"))</f>
        <v>14.224232413825044</v>
      </c>
      <c r="L23" s="6">
        <f>IF(A23="","",_xll.BDP(A23&amp;" US Equity","OPER_MARGIN"))</f>
        <v>10.354270542288633</v>
      </c>
      <c r="M23" s="6" t="str">
        <f>IF(A23="","",_xll.BDP(A23&amp;" US Equity","NET_INCOME_MARGIN"))</f>
        <v>#N/A Invalid Field</v>
      </c>
      <c r="N23" s="6">
        <f>IF(A23="","",_xll.BDP(A23&amp;" US Equity","FREE_CASH_FLOW_YIELD"))</f>
        <v>3.6640360616888348</v>
      </c>
      <c r="O23" s="6">
        <f>IF(A23="","",_xll.BDP(A23&amp;" US Equity","TOT_DEBT_TO_TOT_EQY"))</f>
        <v>16.32886515193567</v>
      </c>
      <c r="P23" s="6">
        <f>IF(A23="","",_xll.BDP(A23&amp;" US Equity","EQY_DVD_YLD_IND"))</f>
        <v>2.755668440612054</v>
      </c>
      <c r="Q23" s="6">
        <f>IF(A23="","",_xll.BDP(A23&amp;" US Equity","BEST_CUR_EV_TO_EBITDA"))</f>
        <v>9.8540460407495161</v>
      </c>
      <c r="R23" s="6">
        <f>IF(A23="","",_xll.BDP(A23&amp;" US Equity","PX_TO_BOOK_RATIO"))</f>
        <v>2.4087740550533465</v>
      </c>
      <c r="S23" s="6" t="str">
        <f>IF(A23="","",_xll.BDP(A23&amp;" US Equity","RESEARCH_AND_DEV_TO_REVENUE"))</f>
        <v>#N/A Invalid Field</v>
      </c>
      <c r="T23" s="6" t="str">
        <f>IF(A23="","",_xll.BDP(A23&amp;" US Equity","REVENUE_5YR_CAGR"))</f>
        <v>#N/A Invalid Field</v>
      </c>
      <c r="U23" s="6">
        <f t="shared" si="0"/>
        <v>5.9654560698700058E-2</v>
      </c>
    </row>
    <row r="24" spans="1:21" ht="15" customHeight="1" x14ac:dyDescent="0.25">
      <c r="A24" s="5" t="s">
        <v>43</v>
      </c>
      <c r="B24" s="6" t="str">
        <f>IF(A24="","",_xll.BDP(A24&amp;" US Equity","NAME"))</f>
        <v>NEXTERA ENERGY INC</v>
      </c>
      <c r="C24" s="6" t="str">
        <f>IF(A24="","",_xll.BDP(A24&amp;" US Equity","GICS_SECTOR_NAME"))</f>
        <v>Utilities</v>
      </c>
      <c r="D24" s="6" t="str">
        <f>IF(A24="","",_xll.BDP(A24&amp;" US Equity","GICS_SUB_INDUSTRY_NAME"))</f>
        <v>Electric Utilities</v>
      </c>
      <c r="E24" s="6">
        <f>IF(A24="","",_xll.BDP(A24&amp;" US Equity","PX_LAST"))</f>
        <v>94.922200000000004</v>
      </c>
      <c r="F24" s="6">
        <f>IF(A24="","",_xll.BDP(A24&amp;" US Equity","CUR_MKT_CAP")/1000000000)</f>
        <v>197.6858929465848</v>
      </c>
      <c r="G24" s="6">
        <f>IF(A24="","",_xll.BDP(A24&amp;" US Equity","BETA_RAW_OVERRIDABLE"))</f>
        <v>0.38345338338602991</v>
      </c>
      <c r="H24" s="6">
        <f>IF(A24="","",_xll.BDP(A24&amp;" US Equity","BEST_PE_RATIO"))</f>
        <v>23.861789844142784</v>
      </c>
      <c r="I24" s="6">
        <f>IF(A24="","",_xll.BDP(A24&amp;" US Equity","RETURN_ON_INV_CAPITAL"))</f>
        <v>5.3391821226695892</v>
      </c>
      <c r="J24" s="6">
        <f>IF(A24="","",_xll.BDP(A24&amp;" US Equity","RETURN_COM_EQY"))</f>
        <v>13.053319198922727</v>
      </c>
      <c r="K24" s="6">
        <f>IF(A24="","",_xll.BDP(A24&amp;" US Equity","GROSS_MARGIN"))</f>
        <v>81.964103312417919</v>
      </c>
      <c r="L24" s="6">
        <f>IF(A24="","",_xll.BDP(A24&amp;" US Equity","OPER_MARGIN"))</f>
        <v>30.205749306872903</v>
      </c>
      <c r="M24" s="6" t="str">
        <f>IF(A24="","",_xll.BDP(A24&amp;" US Equity","NET_INCOME_MARGIN"))</f>
        <v>#N/A Invalid Field</v>
      </c>
      <c r="N24" s="6">
        <f>IF(A24="","",_xll.BDP(A24&amp;" US Equity","FREE_CASH_FLOW_YIELD"))</f>
        <v>-3.4244891472347541</v>
      </c>
      <c r="O24" s="6">
        <f>IF(A24="","",_xll.BDP(A24&amp;" US Equity","TOT_DEBT_TO_TOT_EQY"))</f>
        <v>143.83339099565276</v>
      </c>
      <c r="P24" s="6">
        <f>IF(A24="","",_xll.BDP(A24&amp;" US Equity","EQY_DVD_YLD_IND"))</f>
        <v>2.6261506763746647</v>
      </c>
      <c r="Q24" s="6">
        <f>IF(A24="","",_xll.BDP(A24&amp;" US Equity","BEST_CUR_EV_TO_EBITDA"))</f>
        <v>16.044773074929278</v>
      </c>
      <c r="R24" s="6">
        <f>IF(A24="","",_xll.BDP(A24&amp;" US Equity","PX_TO_BOOK_RATIO"))</f>
        <v>3.620090999909241</v>
      </c>
      <c r="S24" s="6" t="str">
        <f>IF(A24="","",_xll.BDP(A24&amp;" US Equity","RESEARCH_AND_DEV_TO_REVENUE"))</f>
        <v>#N/A Invalid Field</v>
      </c>
      <c r="T24" s="6" t="str">
        <f>IF(A24="","",_xll.BDP(A24&amp;" US Equity","REVENUE_5YR_CAGR"))</f>
        <v>#N/A Invalid Field</v>
      </c>
      <c r="U24" s="6">
        <f t="shared" si="0"/>
        <v>6.4172669169301491E-2</v>
      </c>
    </row>
    <row r="25" spans="1:21" ht="15" customHeight="1" x14ac:dyDescent="0.25">
      <c r="A25" s="5" t="s">
        <v>388</v>
      </c>
      <c r="B25" s="6" t="str">
        <f>IF(A25="","",_xll.BDP(A25&amp;" US Equity","NAME"))</f>
        <v>GAP INC/THE</v>
      </c>
      <c r="C25" s="6" t="str">
        <f>IF(A25="","",_xll.BDP(A25&amp;" US Equity","GICS_SECTOR_NAME"))</f>
        <v>Consumer Discretionary</v>
      </c>
      <c r="D25" s="6" t="str">
        <f>IF(A25="","",_xll.BDP(A25&amp;" US Equity","GICS_SUB_INDUSTRY_NAME"))</f>
        <v>Apparel Retail</v>
      </c>
      <c r="E25" s="6">
        <f>IF(A25="","",_xll.BDP(A25&amp;" US Equity","PX_LAST"))</f>
        <v>27.675000000000001</v>
      </c>
      <c r="F25" s="6">
        <f>IF(A25="","",_xll.BDP(A25&amp;" US Equity","CUR_MKT_CAP")/1000000000)</f>
        <v>10.292934154500005</v>
      </c>
      <c r="G25" s="6">
        <f>IF(A25="","",_xll.BDP(A25&amp;" US Equity","BETA_RAW_OVERRIDABLE"))</f>
        <v>1.2394717429399869</v>
      </c>
      <c r="H25" s="6">
        <f>IF(A25="","",_xll.BDP(A25&amp;" US Equity","BEST_PE_RATIO"))</f>
        <v>12.371479660259276</v>
      </c>
      <c r="I25" s="6">
        <f>IF(A25="","",_xll.BDP(A25&amp;" US Equity","RETURN_ON_INV_CAPITAL"))</f>
        <v>9.3427412247986155</v>
      </c>
      <c r="J25" s="6">
        <f>IF(A25="","",_xll.BDP(A25&amp;" US Equity","RETURN_COM_EQY"))</f>
        <v>25.095841934532586</v>
      </c>
      <c r="K25" s="6">
        <f>IF(A25="","",_xll.BDP(A25&amp;" US Equity","GROSS_MARGIN"))</f>
        <v>41.276680365902166</v>
      </c>
      <c r="L25" s="6">
        <f>IF(A25="","",_xll.BDP(A25&amp;" US Equity","OPER_MARGIN"))</f>
        <v>7.3710725175659544</v>
      </c>
      <c r="M25" s="6" t="str">
        <f>IF(A25="","",_xll.BDP(A25&amp;" US Equity","NET_INCOME_MARGIN"))</f>
        <v>#N/A Invalid Field</v>
      </c>
      <c r="N25" s="6">
        <f>IF(A25="","",_xll.BDP(A25&amp;" US Equity","FREE_CASH_FLOW_YIELD"))</f>
        <v>7.5106375497014541</v>
      </c>
      <c r="O25" s="6">
        <f>IF(A25="","",_xll.BDP(A25&amp;" US Equity","TOT_DEBT_TO_TOT_EQY"))</f>
        <v>167.7389705882353</v>
      </c>
      <c r="P25" s="6">
        <f>IF(A25="","",_xll.BDP(A25&amp;" US Equity","EQY_DVD_YLD_IND"))</f>
        <v>2.3848239430028682</v>
      </c>
      <c r="Q25" s="6">
        <f>IF(A25="","",_xll.BDP(A25&amp;" US Equity","BEST_CUR_EV_TO_EBITDA"))</f>
        <v>5.6313987200888675</v>
      </c>
      <c r="R25" s="6">
        <f>IF(A25="","",_xll.BDP(A25&amp;" US Equity","PX_TO_BOOK_RATIO"))</f>
        <v>2.822895452751994</v>
      </c>
      <c r="S25" s="6" t="str">
        <f>IF(A25="","",_xll.BDP(A25&amp;" US Equity","RESEARCH_AND_DEV_TO_REVENUE"))</f>
        <v>#N/A Invalid Field</v>
      </c>
      <c r="T25" s="6" t="str">
        <f>IF(A25="","",_xll.BDP(A25&amp;" US Equity","REVENUE_5YR_CAGR"))</f>
        <v>#N/A Invalid Field</v>
      </c>
      <c r="U25" s="6">
        <f t="shared" si="0"/>
        <v>0.10697358714699934</v>
      </c>
    </row>
    <row r="26" spans="1:21" ht="15" customHeight="1" x14ac:dyDescent="0.25">
      <c r="A26" s="5"/>
      <c r="B26" s="6" t="str">
        <f>IF(A26="","",_xll.BDP(A26&amp;" US Equity","NAME"))</f>
        <v/>
      </c>
      <c r="C26" s="6" t="str">
        <f>IF(A26="","",_xll.BDP(A26&amp;" US Equity","GICS_SECTOR_NAME"))</f>
        <v/>
      </c>
      <c r="D26" s="6" t="str">
        <f>IF(A26="","",_xll.BDP(A26&amp;" US Equity","GICS_SUB_INDUSTRY_NAME"))</f>
        <v/>
      </c>
      <c r="E26" s="6" t="str">
        <f>IF(A26="","",_xll.BDP(A26&amp;" US Equity","PX_LAST"))</f>
        <v/>
      </c>
      <c r="F26" s="6" t="str">
        <f>IF(A26="","",_xll.BDP(A26&amp;" US Equity","CUR_MKT_CAP")/1000000000)</f>
        <v/>
      </c>
      <c r="G26" s="6" t="str">
        <f>IF(A26="","",_xll.BDP(A26&amp;" US Equity","BETA_RAW_OVERRIDABLE"))</f>
        <v/>
      </c>
      <c r="H26" s="6" t="str">
        <f>IF(A26="","",_xll.BDP(A26&amp;" US Equity","BEST_PE_RATIO"))</f>
        <v/>
      </c>
      <c r="I26" s="6" t="str">
        <f>IF(A26="","",_xll.BDP(A26&amp;" US Equity","RETURN_ON_INV_CAPITAL"))</f>
        <v/>
      </c>
      <c r="J26" s="6" t="str">
        <f>IF(A26="","",_xll.BDP(A26&amp;" US Equity","RETURN_COM_EQY"))</f>
        <v/>
      </c>
      <c r="K26" s="6" t="str">
        <f>IF(A26="","",_xll.BDP(A26&amp;" US Equity","GROSS_MARGIN"))</f>
        <v/>
      </c>
      <c r="L26" s="6" t="str">
        <f>IF(A26="","",_xll.BDP(A26&amp;" US Equity","OPER_MARGIN"))</f>
        <v/>
      </c>
      <c r="M26" s="6" t="str">
        <f>IF(A26="","",_xll.BDP(A26&amp;" US Equity","NET_INCOME_MARGIN"))</f>
        <v/>
      </c>
      <c r="N26" s="6" t="str">
        <f>IF(A26="","",_xll.BDP(A26&amp;" US Equity","FREE_CASH_FLOW_YIELD"))</f>
        <v/>
      </c>
      <c r="O26" s="6" t="str">
        <f>IF(A26="","",_xll.BDP(A26&amp;" US Equity","TOT_DEBT_TO_TOT_EQY"))</f>
        <v/>
      </c>
      <c r="P26" s="6" t="str">
        <f>IF(A26="","",_xll.BDP(A26&amp;" US Equity","EQY_DVD_YLD_IND"))</f>
        <v/>
      </c>
      <c r="Q26" s="6" t="str">
        <f>IF(A26="","",_xll.BDP(A26&amp;" US Equity","BEST_CUR_EV_TO_EBITDA"))</f>
        <v/>
      </c>
      <c r="R26" s="6" t="str">
        <f>IF(A26="","",_xll.BDP(A26&amp;" US Equity","PX_TO_BOOK_RATIO"))</f>
        <v/>
      </c>
      <c r="S26" s="6" t="str">
        <f>IF(A26="","",_xll.BDP(A26&amp;" US Equity","RESEARCH_AND_DEV_TO_REVENUE"))</f>
        <v/>
      </c>
      <c r="T26" s="6" t="str">
        <f>IF(A26="","",_xll.BDP(A26&amp;" US Equity","REVENUE_5YR_CAGR"))</f>
        <v/>
      </c>
      <c r="U26" s="6" t="str">
        <f t="shared" si="0"/>
        <v/>
      </c>
    </row>
    <row r="27" spans="1:21" ht="15" customHeight="1" x14ac:dyDescent="0.25">
      <c r="A27" s="5"/>
      <c r="B27" s="6" t="str">
        <f>IF(A27="","",_xll.BDP(A27&amp;" US Equity","NAME"))</f>
        <v/>
      </c>
      <c r="C27" s="6" t="str">
        <f>IF(A27="","",_xll.BDP(A27&amp;" US Equity","GICS_SECTOR_NAME"))</f>
        <v/>
      </c>
      <c r="D27" s="6" t="str">
        <f>IF(A27="","",_xll.BDP(A27&amp;" US Equity","GICS_SUB_INDUSTRY_NAME"))</f>
        <v/>
      </c>
      <c r="E27" s="6" t="str">
        <f>IF(A27="","",_xll.BDP(A27&amp;" US Equity","PX_LAST"))</f>
        <v/>
      </c>
      <c r="F27" s="6" t="str">
        <f>IF(A27="","",_xll.BDP(A27&amp;" US Equity","CUR_MKT_CAP")/1000000000)</f>
        <v/>
      </c>
      <c r="G27" s="6" t="str">
        <f>IF(A27="","",_xll.BDP(A27&amp;" US Equity","BETA_RAW_OVERRIDABLE"))</f>
        <v/>
      </c>
      <c r="H27" s="6" t="str">
        <f>IF(A27="","",_xll.BDP(A27&amp;" US Equity","BEST_PE_RATIO"))</f>
        <v/>
      </c>
      <c r="I27" s="6" t="str">
        <f>IF(A27="","",_xll.BDP(A27&amp;" US Equity","RETURN_ON_INV_CAPITAL"))</f>
        <v/>
      </c>
      <c r="J27" s="6" t="str">
        <f>IF(A27="","",_xll.BDP(A27&amp;" US Equity","RETURN_COM_EQY"))</f>
        <v/>
      </c>
      <c r="K27" s="6" t="str">
        <f>IF(A27="","",_xll.BDP(A27&amp;" US Equity","GROSS_MARGIN"))</f>
        <v/>
      </c>
      <c r="L27" s="6" t="str">
        <f>IF(A27="","",_xll.BDP(A27&amp;" US Equity","OPER_MARGIN"))</f>
        <v/>
      </c>
      <c r="M27" s="6" t="str">
        <f>IF(A27="","",_xll.BDP(A27&amp;" US Equity","NET_INCOME_MARGIN"))</f>
        <v/>
      </c>
      <c r="N27" s="6" t="str">
        <f>IF(A27="","",_xll.BDP(A27&amp;" US Equity","FREE_CASH_FLOW_YIELD"))</f>
        <v/>
      </c>
      <c r="O27" s="6" t="str">
        <f>IF(A27="","",_xll.BDP(A27&amp;" US Equity","TOT_DEBT_TO_TOT_EQY"))</f>
        <v/>
      </c>
      <c r="P27" s="6" t="str">
        <f>IF(A27="","",_xll.BDP(A27&amp;" US Equity","EQY_DVD_YLD_IND"))</f>
        <v/>
      </c>
      <c r="Q27" s="6" t="str">
        <f>IF(A27="","",_xll.BDP(A27&amp;" US Equity","BEST_CUR_EV_TO_EBITDA"))</f>
        <v/>
      </c>
      <c r="R27" s="6" t="str">
        <f>IF(A27="","",_xll.BDP(A27&amp;" US Equity","PX_TO_BOOK_RATIO"))</f>
        <v/>
      </c>
      <c r="S27" s="6" t="str">
        <f>IF(A27="","",_xll.BDP(A27&amp;" US Equity","RESEARCH_AND_DEV_TO_REVENUE"))</f>
        <v/>
      </c>
      <c r="T27" s="6" t="str">
        <f>IF(A27="","",_xll.BDP(A27&amp;" US Equity","REVENUE_5YR_CAGR"))</f>
        <v/>
      </c>
      <c r="U27" s="6" t="str">
        <f t="shared" si="0"/>
        <v/>
      </c>
    </row>
    <row r="28" spans="1:21" ht="15" customHeight="1" x14ac:dyDescent="0.25">
      <c r="A28" s="5"/>
      <c r="B28" s="6" t="str">
        <f>IF(A28="","",_xll.BDP(A28&amp;" US Equity","NAME"))</f>
        <v/>
      </c>
      <c r="C28" s="6" t="str">
        <f>IF(A28="","",_xll.BDP(A28&amp;" US Equity","GICS_SECTOR_NAME"))</f>
        <v/>
      </c>
      <c r="D28" s="6" t="str">
        <f>IF(A28="","",_xll.BDP(A28&amp;" US Equity","GICS_SUB_INDUSTRY_NAME"))</f>
        <v/>
      </c>
      <c r="E28" s="6" t="str">
        <f>IF(A28="","",_xll.BDP(A28&amp;" US Equity","PX_LAST"))</f>
        <v/>
      </c>
      <c r="F28" s="6" t="str">
        <f>IF(A28="","",_xll.BDP(A28&amp;" US Equity","CUR_MKT_CAP")/1000000000)</f>
        <v/>
      </c>
      <c r="G28" s="6" t="str">
        <f>IF(A28="","",_xll.BDP(A28&amp;" US Equity","BETA_RAW_OVERRIDABLE"))</f>
        <v/>
      </c>
      <c r="H28" s="6" t="str">
        <f>IF(A28="","",_xll.BDP(A28&amp;" US Equity","BEST_PE_RATIO"))</f>
        <v/>
      </c>
      <c r="I28" s="6" t="str">
        <f>IF(A28="","",_xll.BDP(A28&amp;" US Equity","RETURN_ON_INV_CAPITAL"))</f>
        <v/>
      </c>
      <c r="J28" s="6" t="str">
        <f>IF(A28="","",_xll.BDP(A28&amp;" US Equity","RETURN_COM_EQY"))</f>
        <v/>
      </c>
      <c r="K28" s="6" t="str">
        <f>IF(A28="","",_xll.BDP(A28&amp;" US Equity","GROSS_MARGIN"))</f>
        <v/>
      </c>
      <c r="L28" s="6" t="str">
        <f>IF(A28="","",_xll.BDP(A28&amp;" US Equity","OPER_MARGIN"))</f>
        <v/>
      </c>
      <c r="M28" s="6" t="str">
        <f>IF(A28="","",_xll.BDP(A28&amp;" US Equity","NET_INCOME_MARGIN"))</f>
        <v/>
      </c>
      <c r="N28" s="6" t="str">
        <f>IF(A28="","",_xll.BDP(A28&amp;" US Equity","FREE_CASH_FLOW_YIELD"))</f>
        <v/>
      </c>
      <c r="O28" s="6" t="str">
        <f>IF(A28="","",_xll.BDP(A28&amp;" US Equity","TOT_DEBT_TO_TOT_EQY"))</f>
        <v/>
      </c>
      <c r="P28" s="6" t="str">
        <f>IF(A28="","",_xll.BDP(A28&amp;" US Equity","EQY_DVD_YLD_IND"))</f>
        <v/>
      </c>
      <c r="Q28" s="6" t="str">
        <f>IF(A28="","",_xll.BDP(A28&amp;" US Equity","BEST_CUR_EV_TO_EBITDA"))</f>
        <v/>
      </c>
      <c r="R28" s="6" t="str">
        <f>IF(A28="","",_xll.BDP(A28&amp;" US Equity","PX_TO_BOOK_RATIO"))</f>
        <v/>
      </c>
      <c r="S28" s="6" t="str">
        <f>IF(A28="","",_xll.BDP(A28&amp;" US Equity","RESEARCH_AND_DEV_TO_REVENUE"))</f>
        <v/>
      </c>
      <c r="T28" s="6" t="str">
        <f>IF(A28="","",_xll.BDP(A28&amp;" US Equity","REVENUE_5YR_CAGR"))</f>
        <v/>
      </c>
      <c r="U28" s="6" t="str">
        <f t="shared" si="0"/>
        <v/>
      </c>
    </row>
    <row r="29" spans="1:21" ht="15" customHeight="1" x14ac:dyDescent="0.25">
      <c r="A29" s="5"/>
      <c r="B29" s="6" t="str">
        <f>IF(A29="","",_xll.BDP(A29&amp;" US Equity","NAME"))</f>
        <v/>
      </c>
      <c r="C29" s="6" t="str">
        <f>IF(A29="","",_xll.BDP(A29&amp;" US Equity","GICS_SECTOR_NAME"))</f>
        <v/>
      </c>
      <c r="D29" s="6" t="str">
        <f>IF(A29="","",_xll.BDP(A29&amp;" US Equity","GICS_SUB_INDUSTRY_NAME"))</f>
        <v/>
      </c>
      <c r="E29" s="6" t="str">
        <f>IF(A29="","",_xll.BDP(A29&amp;" US Equity","PX_LAST"))</f>
        <v/>
      </c>
      <c r="F29" s="6" t="str">
        <f>IF(A29="","",_xll.BDP(A29&amp;" US Equity","CUR_MKT_CAP")/1000000000)</f>
        <v/>
      </c>
      <c r="G29" s="6" t="str">
        <f>IF(A29="","",_xll.BDP(A29&amp;" US Equity","BETA_RAW_OVERRIDABLE"))</f>
        <v/>
      </c>
      <c r="H29" s="6" t="str">
        <f>IF(A29="","",_xll.BDP(A29&amp;" US Equity","BEST_PE_RATIO"))</f>
        <v/>
      </c>
      <c r="I29" s="6" t="str">
        <f>IF(A29="","",_xll.BDP(A29&amp;" US Equity","RETURN_ON_INV_CAPITAL"))</f>
        <v/>
      </c>
      <c r="J29" s="6" t="str">
        <f>IF(A29="","",_xll.BDP(A29&amp;" US Equity","RETURN_COM_EQY"))</f>
        <v/>
      </c>
      <c r="K29" s="6" t="str">
        <f>IF(A29="","",_xll.BDP(A29&amp;" US Equity","GROSS_MARGIN"))</f>
        <v/>
      </c>
      <c r="L29" s="6" t="str">
        <f>IF(A29="","",_xll.BDP(A29&amp;" US Equity","OPER_MARGIN"))</f>
        <v/>
      </c>
      <c r="M29" s="6" t="str">
        <f>IF(A29="","",_xll.BDP(A29&amp;" US Equity","NET_INCOME_MARGIN"))</f>
        <v/>
      </c>
      <c r="N29" s="6" t="str">
        <f>IF(A29="","",_xll.BDP(A29&amp;" US Equity","FREE_CASH_FLOW_YIELD"))</f>
        <v/>
      </c>
      <c r="O29" s="6" t="str">
        <f>IF(A29="","",_xll.BDP(A29&amp;" US Equity","TOT_DEBT_TO_TOT_EQY"))</f>
        <v/>
      </c>
      <c r="P29" s="6" t="str">
        <f>IF(A29="","",_xll.BDP(A29&amp;" US Equity","EQY_DVD_YLD_IND"))</f>
        <v/>
      </c>
      <c r="Q29" s="6" t="str">
        <f>IF(A29="","",_xll.BDP(A29&amp;" US Equity","BEST_CUR_EV_TO_EBITDA"))</f>
        <v/>
      </c>
      <c r="R29" s="6" t="str">
        <f>IF(A29="","",_xll.BDP(A29&amp;" US Equity","PX_TO_BOOK_RATIO"))</f>
        <v/>
      </c>
      <c r="S29" s="6" t="str">
        <f>IF(A29="","",_xll.BDP(A29&amp;" US Equity","RESEARCH_AND_DEV_TO_REVENUE"))</f>
        <v/>
      </c>
      <c r="T29" s="6" t="str">
        <f>IF(A29="","",_xll.BDP(A29&amp;" US Equity","REVENUE_5YR_CAGR"))</f>
        <v/>
      </c>
      <c r="U29" s="6" t="str">
        <f t="shared" si="0"/>
        <v/>
      </c>
    </row>
    <row r="30" spans="1:21" ht="15" customHeight="1" x14ac:dyDescent="0.25">
      <c r="A30" s="5"/>
      <c r="B30" s="6" t="str">
        <f>IF(A30="","",_xll.BDP(A30&amp;" US Equity","NAME"))</f>
        <v/>
      </c>
      <c r="C30" s="6" t="str">
        <f>IF(A30="","",_xll.BDP(A30&amp;" US Equity","GICS_SECTOR_NAME"))</f>
        <v/>
      </c>
      <c r="D30" s="6" t="str">
        <f>IF(A30="","",_xll.BDP(A30&amp;" US Equity","GICS_SUB_INDUSTRY_NAME"))</f>
        <v/>
      </c>
      <c r="E30" s="6" t="str">
        <f>IF(A30="","",_xll.BDP(A30&amp;" US Equity","PX_LAST"))</f>
        <v/>
      </c>
      <c r="F30" s="6" t="str">
        <f>IF(A30="","",_xll.BDP(A30&amp;" US Equity","CUR_MKT_CAP")/1000000000)</f>
        <v/>
      </c>
      <c r="G30" s="6" t="str">
        <f>IF(A30="","",_xll.BDP(A30&amp;" US Equity","BETA_RAW_OVERRIDABLE"))</f>
        <v/>
      </c>
      <c r="H30" s="6" t="str">
        <f>IF(A30="","",_xll.BDP(A30&amp;" US Equity","BEST_PE_RATIO"))</f>
        <v/>
      </c>
      <c r="I30" s="6" t="str">
        <f>IF(A30="","",_xll.BDP(A30&amp;" US Equity","RETURN_ON_INV_CAPITAL"))</f>
        <v/>
      </c>
      <c r="J30" s="6" t="str">
        <f>IF(A30="","",_xll.BDP(A30&amp;" US Equity","RETURN_COM_EQY"))</f>
        <v/>
      </c>
      <c r="K30" s="6" t="str">
        <f>IF(A30="","",_xll.BDP(A30&amp;" US Equity","GROSS_MARGIN"))</f>
        <v/>
      </c>
      <c r="L30" s="6" t="str">
        <f>IF(A30="","",_xll.BDP(A30&amp;" US Equity","OPER_MARGIN"))</f>
        <v/>
      </c>
      <c r="M30" s="6" t="str">
        <f>IF(A30="","",_xll.BDP(A30&amp;" US Equity","NET_INCOME_MARGIN"))</f>
        <v/>
      </c>
      <c r="N30" s="6" t="str">
        <f>IF(A30="","",_xll.BDP(A30&amp;" US Equity","FREE_CASH_FLOW_YIELD"))</f>
        <v/>
      </c>
      <c r="O30" s="6" t="str">
        <f>IF(A30="","",_xll.BDP(A30&amp;" US Equity","TOT_DEBT_TO_TOT_EQY"))</f>
        <v/>
      </c>
      <c r="P30" s="6" t="str">
        <f>IF(A30="","",_xll.BDP(A30&amp;" US Equity","EQY_DVD_YLD_IND"))</f>
        <v/>
      </c>
      <c r="Q30" s="6" t="str">
        <f>IF(A30="","",_xll.BDP(A30&amp;" US Equity","BEST_CUR_EV_TO_EBITDA"))</f>
        <v/>
      </c>
      <c r="R30" s="6" t="str">
        <f>IF(A30="","",_xll.BDP(A30&amp;" US Equity","PX_TO_BOOK_RATIO"))</f>
        <v/>
      </c>
      <c r="S30" s="6" t="str">
        <f>IF(A30="","",_xll.BDP(A30&amp;" US Equity","RESEARCH_AND_DEV_TO_REVENUE"))</f>
        <v/>
      </c>
      <c r="T30" s="6" t="str">
        <f>IF(A30="","",_xll.BDP(A30&amp;" US Equity","REVENUE_5YR_CAGR"))</f>
        <v/>
      </c>
      <c r="U30" s="6" t="str">
        <f t="shared" si="0"/>
        <v/>
      </c>
    </row>
    <row r="31" spans="1:21" ht="15" customHeight="1" x14ac:dyDescent="0.25">
      <c r="A31" s="5"/>
      <c r="B31" s="6" t="str">
        <f>IF(A31="","",_xll.BDP(A31&amp;" US Equity","NAME"))</f>
        <v/>
      </c>
      <c r="C31" s="6" t="str">
        <f>IF(A31="","",_xll.BDP(A31&amp;" US Equity","GICS_SECTOR_NAME"))</f>
        <v/>
      </c>
      <c r="D31" s="6" t="str">
        <f>IF(A31="","",_xll.BDP(A31&amp;" US Equity","GICS_SUB_INDUSTRY_NAME"))</f>
        <v/>
      </c>
      <c r="E31" s="6" t="str">
        <f>IF(A31="","",_xll.BDP(A31&amp;" US Equity","PX_LAST"))</f>
        <v/>
      </c>
      <c r="F31" s="6" t="str">
        <f>IF(A31="","",_xll.BDP(A31&amp;" US Equity","CUR_MKT_CAP")/1000000000)</f>
        <v/>
      </c>
      <c r="G31" s="6" t="str">
        <f>IF(A31="","",_xll.BDP(A31&amp;" US Equity","BETA_RAW_OVERRIDABLE"))</f>
        <v/>
      </c>
      <c r="H31" s="6" t="str">
        <f>IF(A31="","",_xll.BDP(A31&amp;" US Equity","BEST_PE_RATIO"))</f>
        <v/>
      </c>
      <c r="I31" s="6" t="str">
        <f>IF(A31="","",_xll.BDP(A31&amp;" US Equity","RETURN_ON_INV_CAPITAL"))</f>
        <v/>
      </c>
      <c r="J31" s="6" t="str">
        <f>IF(A31="","",_xll.BDP(A31&amp;" US Equity","RETURN_COM_EQY"))</f>
        <v/>
      </c>
      <c r="K31" s="6" t="str">
        <f>IF(A31="","",_xll.BDP(A31&amp;" US Equity","GROSS_MARGIN"))</f>
        <v/>
      </c>
      <c r="L31" s="6" t="str">
        <f>IF(A31="","",_xll.BDP(A31&amp;" US Equity","OPER_MARGIN"))</f>
        <v/>
      </c>
      <c r="M31" s="6" t="str">
        <f>IF(A31="","",_xll.BDP(A31&amp;" US Equity","NET_INCOME_MARGIN"))</f>
        <v/>
      </c>
      <c r="N31" s="6" t="str">
        <f>IF(A31="","",_xll.BDP(A31&amp;" US Equity","FREE_CASH_FLOW_YIELD"))</f>
        <v/>
      </c>
      <c r="O31" s="6" t="str">
        <f>IF(A31="","",_xll.BDP(A31&amp;" US Equity","TOT_DEBT_TO_TOT_EQY"))</f>
        <v/>
      </c>
      <c r="P31" s="6" t="str">
        <f>IF(A31="","",_xll.BDP(A31&amp;" US Equity","EQY_DVD_YLD_IND"))</f>
        <v/>
      </c>
      <c r="Q31" s="6" t="str">
        <f>IF(A31="","",_xll.BDP(A31&amp;" US Equity","BEST_CUR_EV_TO_EBITDA"))</f>
        <v/>
      </c>
      <c r="R31" s="6" t="str">
        <f>IF(A31="","",_xll.BDP(A31&amp;" US Equity","PX_TO_BOOK_RATIO"))</f>
        <v/>
      </c>
      <c r="S31" s="6" t="str">
        <f>IF(A31="","",_xll.BDP(A31&amp;" US Equity","RESEARCH_AND_DEV_TO_REVENUE"))</f>
        <v/>
      </c>
      <c r="T31" s="6" t="str">
        <f>IF(A31="","",_xll.BDP(A31&amp;" US Equity","REVENUE_5YR_CAGR"))</f>
        <v/>
      </c>
      <c r="U31" s="6" t="str">
        <f t="shared" si="0"/>
        <v/>
      </c>
    </row>
    <row r="32" spans="1:21" ht="15" customHeight="1" x14ac:dyDescent="0.25">
      <c r="A32" s="5"/>
      <c r="B32" s="6" t="str">
        <f>IF(A32="","",_xll.BDP(A32&amp;" US Equity","NAME"))</f>
        <v/>
      </c>
      <c r="C32" s="6" t="str">
        <f>IF(A32="","",_xll.BDP(A32&amp;" US Equity","GICS_SECTOR_NAME"))</f>
        <v/>
      </c>
      <c r="D32" s="6" t="str">
        <f>IF(A32="","",_xll.BDP(A32&amp;" US Equity","GICS_SUB_INDUSTRY_NAME"))</f>
        <v/>
      </c>
      <c r="E32" s="6" t="str">
        <f>IF(A32="","",_xll.BDP(A32&amp;" US Equity","PX_LAST"))</f>
        <v/>
      </c>
      <c r="F32" s="6" t="str">
        <f>IF(A32="","",_xll.BDP(A32&amp;" US Equity","CUR_MKT_CAP")/1000000000)</f>
        <v/>
      </c>
      <c r="G32" s="6" t="str">
        <f>IF(A32="","",_xll.BDP(A32&amp;" US Equity","BETA_RAW_OVERRIDABLE"))</f>
        <v/>
      </c>
      <c r="H32" s="6" t="str">
        <f>IF(A32="","",_xll.BDP(A32&amp;" US Equity","BEST_PE_RATIO"))</f>
        <v/>
      </c>
      <c r="I32" s="6" t="str">
        <f>IF(A32="","",_xll.BDP(A32&amp;" US Equity","RETURN_ON_INV_CAPITAL"))</f>
        <v/>
      </c>
      <c r="J32" s="6" t="str">
        <f>IF(A32="","",_xll.BDP(A32&amp;" US Equity","RETURN_COM_EQY"))</f>
        <v/>
      </c>
      <c r="K32" s="6" t="str">
        <f>IF(A32="","",_xll.BDP(A32&amp;" US Equity","GROSS_MARGIN"))</f>
        <v/>
      </c>
      <c r="L32" s="6" t="str">
        <f>IF(A32="","",_xll.BDP(A32&amp;" US Equity","OPER_MARGIN"))</f>
        <v/>
      </c>
      <c r="M32" s="6" t="str">
        <f>IF(A32="","",_xll.BDP(A32&amp;" US Equity","NET_INCOME_MARGIN"))</f>
        <v/>
      </c>
      <c r="N32" s="6" t="str">
        <f>IF(A32="","",_xll.BDP(A32&amp;" US Equity","FREE_CASH_FLOW_YIELD"))</f>
        <v/>
      </c>
      <c r="O32" s="6" t="str">
        <f>IF(A32="","",_xll.BDP(A32&amp;" US Equity","TOT_DEBT_TO_TOT_EQY"))</f>
        <v/>
      </c>
      <c r="P32" s="6" t="str">
        <f>IF(A32="","",_xll.BDP(A32&amp;" US Equity","EQY_DVD_YLD_IND"))</f>
        <v/>
      </c>
      <c r="Q32" s="6" t="str">
        <f>IF(A32="","",_xll.BDP(A32&amp;" US Equity","BEST_CUR_EV_TO_EBITDA"))</f>
        <v/>
      </c>
      <c r="R32" s="6" t="str">
        <f>IF(A32="","",_xll.BDP(A32&amp;" US Equity","PX_TO_BOOK_RATIO"))</f>
        <v/>
      </c>
      <c r="S32" s="6" t="str">
        <f>IF(A32="","",_xll.BDP(A32&amp;" US Equity","RESEARCH_AND_DEV_TO_REVENUE"))</f>
        <v/>
      </c>
      <c r="T32" s="6" t="str">
        <f>IF(A32="","",_xll.BDP(A32&amp;" US Equity","REVENUE_5YR_CAGR"))</f>
        <v/>
      </c>
      <c r="U32" s="6" t="str">
        <f t="shared" si="0"/>
        <v/>
      </c>
    </row>
    <row r="33" spans="1:21" ht="15" customHeight="1" x14ac:dyDescent="0.25">
      <c r="A33" s="5"/>
      <c r="B33" s="6" t="str">
        <f>IF(A33="","",_xll.BDP(A33&amp;" US Equity","NAME"))</f>
        <v/>
      </c>
      <c r="C33" s="6" t="str">
        <f>IF(A33="","",_xll.BDP(A33&amp;" US Equity","GICS_SECTOR_NAME"))</f>
        <v/>
      </c>
      <c r="D33" s="6" t="str">
        <f>IF(A33="","",_xll.BDP(A33&amp;" US Equity","GICS_SUB_INDUSTRY_NAME"))</f>
        <v/>
      </c>
      <c r="E33" s="6" t="str">
        <f>IF(A33="","",_xll.BDP(A33&amp;" US Equity","PX_LAST"))</f>
        <v/>
      </c>
      <c r="F33" s="6" t="str">
        <f>IF(A33="","",_xll.BDP(A33&amp;" US Equity","CUR_MKT_CAP")/1000000000)</f>
        <v/>
      </c>
      <c r="G33" s="6" t="str">
        <f>IF(A33="","",_xll.BDP(A33&amp;" US Equity","BETA_RAW_OVERRIDABLE"))</f>
        <v/>
      </c>
      <c r="H33" s="6" t="str">
        <f>IF(A33="","",_xll.BDP(A33&amp;" US Equity","BEST_PE_RATIO"))</f>
        <v/>
      </c>
      <c r="I33" s="6" t="str">
        <f>IF(A33="","",_xll.BDP(A33&amp;" US Equity","RETURN_ON_INV_CAPITAL"))</f>
        <v/>
      </c>
      <c r="J33" s="6" t="str">
        <f>IF(A33="","",_xll.BDP(A33&amp;" US Equity","RETURN_COM_EQY"))</f>
        <v/>
      </c>
      <c r="K33" s="6" t="str">
        <f>IF(A33="","",_xll.BDP(A33&amp;" US Equity","GROSS_MARGIN"))</f>
        <v/>
      </c>
      <c r="L33" s="6" t="str">
        <f>IF(A33="","",_xll.BDP(A33&amp;" US Equity","OPER_MARGIN"))</f>
        <v/>
      </c>
      <c r="M33" s="6" t="str">
        <f>IF(A33="","",_xll.BDP(A33&amp;" US Equity","NET_INCOME_MARGIN"))</f>
        <v/>
      </c>
      <c r="N33" s="6" t="str">
        <f>IF(A33="","",_xll.BDP(A33&amp;" US Equity","FREE_CASH_FLOW_YIELD"))</f>
        <v/>
      </c>
      <c r="O33" s="6" t="str">
        <f>IF(A33="","",_xll.BDP(A33&amp;" US Equity","TOT_DEBT_TO_TOT_EQY"))</f>
        <v/>
      </c>
      <c r="P33" s="6" t="str">
        <f>IF(A33="","",_xll.BDP(A33&amp;" US Equity","EQY_DVD_YLD_IND"))</f>
        <v/>
      </c>
      <c r="Q33" s="6" t="str">
        <f>IF(A33="","",_xll.BDP(A33&amp;" US Equity","BEST_CUR_EV_TO_EBITDA"))</f>
        <v/>
      </c>
      <c r="R33" s="6" t="str">
        <f>IF(A33="","",_xll.BDP(A33&amp;" US Equity","PX_TO_BOOK_RATIO"))</f>
        <v/>
      </c>
      <c r="S33" s="6" t="str">
        <f>IF(A33="","",_xll.BDP(A33&amp;" US Equity","RESEARCH_AND_DEV_TO_REVENUE"))</f>
        <v/>
      </c>
      <c r="T33" s="6" t="str">
        <f>IF(A33="","",_xll.BDP(A33&amp;" US Equity","REVENUE_5YR_CAGR"))</f>
        <v/>
      </c>
      <c r="U33" s="6" t="str">
        <f t="shared" si="0"/>
        <v/>
      </c>
    </row>
    <row r="34" spans="1:21" ht="15" customHeight="1" x14ac:dyDescent="0.25">
      <c r="A34" s="5"/>
      <c r="B34" s="6" t="str">
        <f>IF(A34="","",_xll.BDP(A34&amp;" US Equity","NAME"))</f>
        <v/>
      </c>
      <c r="C34" s="6" t="str">
        <f>IF(A34="","",_xll.BDP(A34&amp;" US Equity","GICS_SECTOR_NAME"))</f>
        <v/>
      </c>
      <c r="D34" s="6" t="str">
        <f>IF(A34="","",_xll.BDP(A34&amp;" US Equity","GICS_SUB_INDUSTRY_NAME"))</f>
        <v/>
      </c>
      <c r="E34" s="6" t="str">
        <f>IF(A34="","",_xll.BDP(A34&amp;" US Equity","PX_LAST"))</f>
        <v/>
      </c>
      <c r="F34" s="6" t="str">
        <f>IF(A34="","",_xll.BDP(A34&amp;" US Equity","CUR_MKT_CAP")/1000000000)</f>
        <v/>
      </c>
      <c r="G34" s="6" t="str">
        <f>IF(A34="","",_xll.BDP(A34&amp;" US Equity","BETA_RAW_OVERRIDABLE"))</f>
        <v/>
      </c>
      <c r="H34" s="6" t="str">
        <f>IF(A34="","",_xll.BDP(A34&amp;" US Equity","BEST_PE_RATIO"))</f>
        <v/>
      </c>
      <c r="I34" s="6" t="str">
        <f>IF(A34="","",_xll.BDP(A34&amp;" US Equity","RETURN_ON_INV_CAPITAL"))</f>
        <v/>
      </c>
      <c r="J34" s="6" t="str">
        <f>IF(A34="","",_xll.BDP(A34&amp;" US Equity","RETURN_COM_EQY"))</f>
        <v/>
      </c>
      <c r="K34" s="6" t="str">
        <f>IF(A34="","",_xll.BDP(A34&amp;" US Equity","GROSS_MARGIN"))</f>
        <v/>
      </c>
      <c r="L34" s="6" t="str">
        <f>IF(A34="","",_xll.BDP(A34&amp;" US Equity","OPER_MARGIN"))</f>
        <v/>
      </c>
      <c r="M34" s="6" t="str">
        <f>IF(A34="","",_xll.BDP(A34&amp;" US Equity","NET_INCOME_MARGIN"))</f>
        <v/>
      </c>
      <c r="N34" s="6" t="str">
        <f>IF(A34="","",_xll.BDP(A34&amp;" US Equity","FREE_CASH_FLOW_YIELD"))</f>
        <v/>
      </c>
      <c r="O34" s="6" t="str">
        <f>IF(A34="","",_xll.BDP(A34&amp;" US Equity","TOT_DEBT_TO_TOT_EQY"))</f>
        <v/>
      </c>
      <c r="P34" s="6" t="str">
        <f>IF(A34="","",_xll.BDP(A34&amp;" US Equity","EQY_DVD_YLD_IND"))</f>
        <v/>
      </c>
      <c r="Q34" s="6" t="str">
        <f>IF(A34="","",_xll.BDP(A34&amp;" US Equity","BEST_CUR_EV_TO_EBITDA"))</f>
        <v/>
      </c>
      <c r="R34" s="6" t="str">
        <f>IF(A34="","",_xll.BDP(A34&amp;" US Equity","PX_TO_BOOK_RATIO"))</f>
        <v/>
      </c>
      <c r="S34" s="6" t="str">
        <f>IF(A34="","",_xll.BDP(A34&amp;" US Equity","RESEARCH_AND_DEV_TO_REVENUE"))</f>
        <v/>
      </c>
      <c r="T34" s="6" t="str">
        <f>IF(A34="","",_xll.BDP(A34&amp;" US Equity","REVENUE_5YR_CAGR"))</f>
        <v/>
      </c>
      <c r="U34" s="6" t="str">
        <f t="shared" si="0"/>
        <v/>
      </c>
    </row>
    <row r="35" spans="1:21" ht="15" customHeight="1" x14ac:dyDescent="0.25">
      <c r="A35" s="5"/>
      <c r="B35" s="6" t="str">
        <f>IF(A35="","",_xll.BDP(A35&amp;" US Equity","NAME"))</f>
        <v/>
      </c>
      <c r="C35" s="6" t="str">
        <f>IF(A35="","",_xll.BDP(A35&amp;" US Equity","GICS_SECTOR_NAME"))</f>
        <v/>
      </c>
      <c r="D35" s="6" t="str">
        <f>IF(A35="","",_xll.BDP(A35&amp;" US Equity","GICS_SUB_INDUSTRY_NAME"))</f>
        <v/>
      </c>
      <c r="E35" s="6" t="str">
        <f>IF(A35="","",_xll.BDP(A35&amp;" US Equity","PX_LAST"))</f>
        <v/>
      </c>
      <c r="F35" s="6" t="str">
        <f>IF(A35="","",_xll.BDP(A35&amp;" US Equity","CUR_MKT_CAP")/1000000000)</f>
        <v/>
      </c>
      <c r="G35" s="6" t="str">
        <f>IF(A35="","",_xll.BDP(A35&amp;" US Equity","BETA_RAW_OVERRIDABLE"))</f>
        <v/>
      </c>
      <c r="H35" s="6" t="str">
        <f>IF(A35="","",_xll.BDP(A35&amp;" US Equity","BEST_PE_RATIO"))</f>
        <v/>
      </c>
      <c r="I35" s="6" t="str">
        <f>IF(A35="","",_xll.BDP(A35&amp;" US Equity","RETURN_ON_INV_CAPITAL"))</f>
        <v/>
      </c>
      <c r="J35" s="6" t="str">
        <f>IF(A35="","",_xll.BDP(A35&amp;" US Equity","RETURN_COM_EQY"))</f>
        <v/>
      </c>
      <c r="K35" s="6" t="str">
        <f>IF(A35="","",_xll.BDP(A35&amp;" US Equity","GROSS_MARGIN"))</f>
        <v/>
      </c>
      <c r="L35" s="6" t="str">
        <f>IF(A35="","",_xll.BDP(A35&amp;" US Equity","OPER_MARGIN"))</f>
        <v/>
      </c>
      <c r="M35" s="6" t="str">
        <f>IF(A35="","",_xll.BDP(A35&amp;" US Equity","NET_INCOME_MARGIN"))</f>
        <v/>
      </c>
      <c r="N35" s="6" t="str">
        <f>IF(A35="","",_xll.BDP(A35&amp;" US Equity","FREE_CASH_FLOW_YIELD"))</f>
        <v/>
      </c>
      <c r="O35" s="6" t="str">
        <f>IF(A35="","",_xll.BDP(A35&amp;" US Equity","TOT_DEBT_TO_TOT_EQY"))</f>
        <v/>
      </c>
      <c r="P35" s="6" t="str">
        <f>IF(A35="","",_xll.BDP(A35&amp;" US Equity","EQY_DVD_YLD_IND"))</f>
        <v/>
      </c>
      <c r="Q35" s="6" t="str">
        <f>IF(A35="","",_xll.BDP(A35&amp;" US Equity","BEST_CUR_EV_TO_EBITDA"))</f>
        <v/>
      </c>
      <c r="R35" s="6" t="str">
        <f>IF(A35="","",_xll.BDP(A35&amp;" US Equity","PX_TO_BOOK_RATIO"))</f>
        <v/>
      </c>
      <c r="S35" s="6" t="str">
        <f>IF(A35="","",_xll.BDP(A35&amp;" US Equity","RESEARCH_AND_DEV_TO_REVENUE"))</f>
        <v/>
      </c>
      <c r="T35" s="6" t="str">
        <f>IF(A35="","",_xll.BDP(A35&amp;" US Equity","REVENUE_5YR_CAGR"))</f>
        <v/>
      </c>
      <c r="U35" s="6" t="str">
        <f t="shared" si="0"/>
        <v/>
      </c>
    </row>
    <row r="36" spans="1:21" ht="15" customHeight="1" x14ac:dyDescent="0.25">
      <c r="A36" s="5"/>
      <c r="B36" s="6" t="str">
        <f>IF(A36="","",_xll.BDP(A36&amp;" US Equity","NAME"))</f>
        <v/>
      </c>
      <c r="C36" s="6" t="str">
        <f>IF(A36="","",_xll.BDP(A36&amp;" US Equity","GICS_SECTOR_NAME"))</f>
        <v/>
      </c>
      <c r="D36" s="6" t="str">
        <f>IF(A36="","",_xll.BDP(A36&amp;" US Equity","GICS_SUB_INDUSTRY_NAME"))</f>
        <v/>
      </c>
      <c r="E36" s="6" t="str">
        <f>IF(A36="","",_xll.BDP(A36&amp;" US Equity","PX_LAST"))</f>
        <v/>
      </c>
      <c r="F36" s="6" t="str">
        <f>IF(A36="","",_xll.BDP(A36&amp;" US Equity","CUR_MKT_CAP")/1000000000)</f>
        <v/>
      </c>
      <c r="G36" s="6" t="str">
        <f>IF(A36="","",_xll.BDP(A36&amp;" US Equity","BETA_RAW_OVERRIDABLE"))</f>
        <v/>
      </c>
      <c r="H36" s="6" t="str">
        <f>IF(A36="","",_xll.BDP(A36&amp;" US Equity","BEST_PE_RATIO"))</f>
        <v/>
      </c>
      <c r="I36" s="6" t="str">
        <f>IF(A36="","",_xll.BDP(A36&amp;" US Equity","RETURN_ON_INV_CAPITAL"))</f>
        <v/>
      </c>
      <c r="J36" s="6" t="str">
        <f>IF(A36="","",_xll.BDP(A36&amp;" US Equity","RETURN_COM_EQY"))</f>
        <v/>
      </c>
      <c r="K36" s="6" t="str">
        <f>IF(A36="","",_xll.BDP(A36&amp;" US Equity","GROSS_MARGIN"))</f>
        <v/>
      </c>
      <c r="L36" s="6" t="str">
        <f>IF(A36="","",_xll.BDP(A36&amp;" US Equity","OPER_MARGIN"))</f>
        <v/>
      </c>
      <c r="M36" s="6" t="str">
        <f>IF(A36="","",_xll.BDP(A36&amp;" US Equity","NET_INCOME_MARGIN"))</f>
        <v/>
      </c>
      <c r="N36" s="6" t="str">
        <f>IF(A36="","",_xll.BDP(A36&amp;" US Equity","FREE_CASH_FLOW_YIELD"))</f>
        <v/>
      </c>
      <c r="O36" s="6" t="str">
        <f>IF(A36="","",_xll.BDP(A36&amp;" US Equity","TOT_DEBT_TO_TOT_EQY"))</f>
        <v/>
      </c>
      <c r="P36" s="6" t="str">
        <f>IF(A36="","",_xll.BDP(A36&amp;" US Equity","EQY_DVD_YLD_IND"))</f>
        <v/>
      </c>
      <c r="Q36" s="6" t="str">
        <f>IF(A36="","",_xll.BDP(A36&amp;" US Equity","BEST_CUR_EV_TO_EBITDA"))</f>
        <v/>
      </c>
      <c r="R36" s="6" t="str">
        <f>IF(A36="","",_xll.BDP(A36&amp;" US Equity","PX_TO_BOOK_RATIO"))</f>
        <v/>
      </c>
      <c r="S36" s="6" t="str">
        <f>IF(A36="","",_xll.BDP(A36&amp;" US Equity","RESEARCH_AND_DEV_TO_REVENUE"))</f>
        <v/>
      </c>
      <c r="T36" s="6" t="str">
        <f>IF(A36="","",_xll.BDP(A36&amp;" US Equity","REVENUE_5YR_CAGR"))</f>
        <v/>
      </c>
      <c r="U36" s="6" t="str">
        <f t="shared" si="0"/>
        <v/>
      </c>
    </row>
    <row r="37" spans="1:21" ht="15" customHeight="1" x14ac:dyDescent="0.25">
      <c r="A37" s="5"/>
      <c r="B37" s="6" t="str">
        <f>IF(A37="","",_xll.BDP(A37&amp;" US Equity","NAME"))</f>
        <v/>
      </c>
      <c r="C37" s="6" t="str">
        <f>IF(A37="","",_xll.BDP(A37&amp;" US Equity","GICS_SECTOR_NAME"))</f>
        <v/>
      </c>
      <c r="D37" s="6" t="str">
        <f>IF(A37="","",_xll.BDP(A37&amp;" US Equity","GICS_SUB_INDUSTRY_NAME"))</f>
        <v/>
      </c>
      <c r="E37" s="6" t="str">
        <f>IF(A37="","",_xll.BDP(A37&amp;" US Equity","PX_LAST"))</f>
        <v/>
      </c>
      <c r="F37" s="6" t="str">
        <f>IF(A37="","",_xll.BDP(A37&amp;" US Equity","CUR_MKT_CAP")/1000000000)</f>
        <v/>
      </c>
      <c r="G37" s="6" t="str">
        <f>IF(A37="","",_xll.BDP(A37&amp;" US Equity","BETA_RAW_OVERRIDABLE"))</f>
        <v/>
      </c>
      <c r="H37" s="6" t="str">
        <f>IF(A37="","",_xll.BDP(A37&amp;" US Equity","BEST_PE_RATIO"))</f>
        <v/>
      </c>
      <c r="I37" s="6" t="str">
        <f>IF(A37="","",_xll.BDP(A37&amp;" US Equity","RETURN_ON_INV_CAPITAL"))</f>
        <v/>
      </c>
      <c r="J37" s="6" t="str">
        <f>IF(A37="","",_xll.BDP(A37&amp;" US Equity","RETURN_COM_EQY"))</f>
        <v/>
      </c>
      <c r="K37" s="6" t="str">
        <f>IF(A37="","",_xll.BDP(A37&amp;" US Equity","GROSS_MARGIN"))</f>
        <v/>
      </c>
      <c r="L37" s="6" t="str">
        <f>IF(A37="","",_xll.BDP(A37&amp;" US Equity","OPER_MARGIN"))</f>
        <v/>
      </c>
      <c r="M37" s="6" t="str">
        <f>IF(A37="","",_xll.BDP(A37&amp;" US Equity","NET_INCOME_MARGIN"))</f>
        <v/>
      </c>
      <c r="N37" s="6" t="str">
        <f>IF(A37="","",_xll.BDP(A37&amp;" US Equity","FREE_CASH_FLOW_YIELD"))</f>
        <v/>
      </c>
      <c r="O37" s="6" t="str">
        <f>IF(A37="","",_xll.BDP(A37&amp;" US Equity","TOT_DEBT_TO_TOT_EQY"))</f>
        <v/>
      </c>
      <c r="P37" s="6" t="str">
        <f>IF(A37="","",_xll.BDP(A37&amp;" US Equity","EQY_DVD_YLD_IND"))</f>
        <v/>
      </c>
      <c r="Q37" s="6" t="str">
        <f>IF(A37="","",_xll.BDP(A37&amp;" US Equity","BEST_CUR_EV_TO_EBITDA"))</f>
        <v/>
      </c>
      <c r="R37" s="6" t="str">
        <f>IF(A37="","",_xll.BDP(A37&amp;" US Equity","PX_TO_BOOK_RATIO"))</f>
        <v/>
      </c>
      <c r="S37" s="6" t="str">
        <f>IF(A37="","",_xll.BDP(A37&amp;" US Equity","RESEARCH_AND_DEV_TO_REVENUE"))</f>
        <v/>
      </c>
      <c r="T37" s="6" t="str">
        <f>IF(A37="","",_xll.BDP(A37&amp;" US Equity","REVENUE_5YR_CAGR"))</f>
        <v/>
      </c>
      <c r="U37" s="6" t="str">
        <f t="shared" ref="U37:U54" si="1">IF(A37="","",0.045+G37*0.05)</f>
        <v/>
      </c>
    </row>
    <row r="38" spans="1:21" ht="15" customHeight="1" x14ac:dyDescent="0.25">
      <c r="A38" s="5"/>
      <c r="B38" s="6" t="str">
        <f>IF(A38="","",_xll.BDP(A38&amp;" US Equity","NAME"))</f>
        <v/>
      </c>
      <c r="C38" s="6" t="str">
        <f>IF(A38="","",_xll.BDP(A38&amp;" US Equity","GICS_SECTOR_NAME"))</f>
        <v/>
      </c>
      <c r="D38" s="6" t="str">
        <f>IF(A38="","",_xll.BDP(A38&amp;" US Equity","GICS_SUB_INDUSTRY_NAME"))</f>
        <v/>
      </c>
      <c r="E38" s="6" t="str">
        <f>IF(A38="","",_xll.BDP(A38&amp;" US Equity","PX_LAST"))</f>
        <v/>
      </c>
      <c r="F38" s="6" t="str">
        <f>IF(A38="","",_xll.BDP(A38&amp;" US Equity","CUR_MKT_CAP")/1000000000)</f>
        <v/>
      </c>
      <c r="G38" s="6" t="str">
        <f>IF(A38="","",_xll.BDP(A38&amp;" US Equity","BETA_RAW_OVERRIDABLE"))</f>
        <v/>
      </c>
      <c r="H38" s="6" t="str">
        <f>IF(A38="","",_xll.BDP(A38&amp;" US Equity","BEST_PE_RATIO"))</f>
        <v/>
      </c>
      <c r="I38" s="6" t="str">
        <f>IF(A38="","",_xll.BDP(A38&amp;" US Equity","RETURN_ON_INV_CAPITAL"))</f>
        <v/>
      </c>
      <c r="J38" s="6" t="str">
        <f>IF(A38="","",_xll.BDP(A38&amp;" US Equity","RETURN_COM_EQY"))</f>
        <v/>
      </c>
      <c r="K38" s="6" t="str">
        <f>IF(A38="","",_xll.BDP(A38&amp;" US Equity","GROSS_MARGIN"))</f>
        <v/>
      </c>
      <c r="L38" s="6" t="str">
        <f>IF(A38="","",_xll.BDP(A38&amp;" US Equity","OPER_MARGIN"))</f>
        <v/>
      </c>
      <c r="M38" s="6" t="str">
        <f>IF(A38="","",_xll.BDP(A38&amp;" US Equity","NET_INCOME_MARGIN"))</f>
        <v/>
      </c>
      <c r="N38" s="6" t="str">
        <f>IF(A38="","",_xll.BDP(A38&amp;" US Equity","FREE_CASH_FLOW_YIELD"))</f>
        <v/>
      </c>
      <c r="O38" s="6" t="str">
        <f>IF(A38="","",_xll.BDP(A38&amp;" US Equity","TOT_DEBT_TO_TOT_EQY"))</f>
        <v/>
      </c>
      <c r="P38" s="6" t="str">
        <f>IF(A38="","",_xll.BDP(A38&amp;" US Equity","EQY_DVD_YLD_IND"))</f>
        <v/>
      </c>
      <c r="Q38" s="6" t="str">
        <f>IF(A38="","",_xll.BDP(A38&amp;" US Equity","BEST_CUR_EV_TO_EBITDA"))</f>
        <v/>
      </c>
      <c r="R38" s="6" t="str">
        <f>IF(A38="","",_xll.BDP(A38&amp;" US Equity","PX_TO_BOOK_RATIO"))</f>
        <v/>
      </c>
      <c r="S38" s="6" t="str">
        <f>IF(A38="","",_xll.BDP(A38&amp;" US Equity","RESEARCH_AND_DEV_TO_REVENUE"))</f>
        <v/>
      </c>
      <c r="T38" s="6" t="str">
        <f>IF(A38="","",_xll.BDP(A38&amp;" US Equity","REVENUE_5YR_CAGR"))</f>
        <v/>
      </c>
      <c r="U38" s="6" t="str">
        <f t="shared" si="1"/>
        <v/>
      </c>
    </row>
    <row r="39" spans="1:21" ht="15" customHeight="1" x14ac:dyDescent="0.25">
      <c r="A39" s="5"/>
      <c r="B39" s="6" t="str">
        <f>IF(A39="","",_xll.BDP(A39&amp;" US Equity","NAME"))</f>
        <v/>
      </c>
      <c r="C39" s="6" t="str">
        <f>IF(A39="","",_xll.BDP(A39&amp;" US Equity","GICS_SECTOR_NAME"))</f>
        <v/>
      </c>
      <c r="D39" s="6" t="str">
        <f>IF(A39="","",_xll.BDP(A39&amp;" US Equity","GICS_SUB_INDUSTRY_NAME"))</f>
        <v/>
      </c>
      <c r="E39" s="6" t="str">
        <f>IF(A39="","",_xll.BDP(A39&amp;" US Equity","PX_LAST"))</f>
        <v/>
      </c>
      <c r="F39" s="6" t="str">
        <f>IF(A39="","",_xll.BDP(A39&amp;" US Equity","CUR_MKT_CAP")/1000000000)</f>
        <v/>
      </c>
      <c r="G39" s="6" t="str">
        <f>IF(A39="","",_xll.BDP(A39&amp;" US Equity","BETA_RAW_OVERRIDABLE"))</f>
        <v/>
      </c>
      <c r="H39" s="6" t="str">
        <f>IF(A39="","",_xll.BDP(A39&amp;" US Equity","BEST_PE_RATIO"))</f>
        <v/>
      </c>
      <c r="I39" s="6" t="str">
        <f>IF(A39="","",_xll.BDP(A39&amp;" US Equity","RETURN_ON_INV_CAPITAL"))</f>
        <v/>
      </c>
      <c r="J39" s="6" t="str">
        <f>IF(A39="","",_xll.BDP(A39&amp;" US Equity","RETURN_COM_EQY"))</f>
        <v/>
      </c>
      <c r="K39" s="6" t="str">
        <f>IF(A39="","",_xll.BDP(A39&amp;" US Equity","GROSS_MARGIN"))</f>
        <v/>
      </c>
      <c r="L39" s="6" t="str">
        <f>IF(A39="","",_xll.BDP(A39&amp;" US Equity","OPER_MARGIN"))</f>
        <v/>
      </c>
      <c r="M39" s="6" t="str">
        <f>IF(A39="","",_xll.BDP(A39&amp;" US Equity","NET_INCOME_MARGIN"))</f>
        <v/>
      </c>
      <c r="N39" s="6" t="str">
        <f>IF(A39="","",_xll.BDP(A39&amp;" US Equity","FREE_CASH_FLOW_YIELD"))</f>
        <v/>
      </c>
      <c r="O39" s="6" t="str">
        <f>IF(A39="","",_xll.BDP(A39&amp;" US Equity","TOT_DEBT_TO_TOT_EQY"))</f>
        <v/>
      </c>
      <c r="P39" s="6" t="str">
        <f>IF(A39="","",_xll.BDP(A39&amp;" US Equity","EQY_DVD_YLD_IND"))</f>
        <v/>
      </c>
      <c r="Q39" s="6" t="str">
        <f>IF(A39="","",_xll.BDP(A39&amp;" US Equity","BEST_CUR_EV_TO_EBITDA"))</f>
        <v/>
      </c>
      <c r="R39" s="6" t="str">
        <f>IF(A39="","",_xll.BDP(A39&amp;" US Equity","PX_TO_BOOK_RATIO"))</f>
        <v/>
      </c>
      <c r="S39" s="6" t="str">
        <f>IF(A39="","",_xll.BDP(A39&amp;" US Equity","RESEARCH_AND_DEV_TO_REVENUE"))</f>
        <v/>
      </c>
      <c r="T39" s="6" t="str">
        <f>IF(A39="","",_xll.BDP(A39&amp;" US Equity","REVENUE_5YR_CAGR"))</f>
        <v/>
      </c>
      <c r="U39" s="6" t="str">
        <f t="shared" si="1"/>
        <v/>
      </c>
    </row>
    <row r="40" spans="1:21" ht="15" customHeight="1" x14ac:dyDescent="0.25">
      <c r="A40" s="5"/>
      <c r="B40" s="6" t="str">
        <f>IF(A40="","",_xll.BDP(A40&amp;" US Equity","NAME"))</f>
        <v/>
      </c>
      <c r="C40" s="6" t="str">
        <f>IF(A40="","",_xll.BDP(A40&amp;" US Equity","GICS_SECTOR_NAME"))</f>
        <v/>
      </c>
      <c r="D40" s="6" t="str">
        <f>IF(A40="","",_xll.BDP(A40&amp;" US Equity","GICS_SUB_INDUSTRY_NAME"))</f>
        <v/>
      </c>
      <c r="E40" s="6" t="str">
        <f>IF(A40="","",_xll.BDP(A40&amp;" US Equity","PX_LAST"))</f>
        <v/>
      </c>
      <c r="F40" s="6" t="str">
        <f>IF(A40="","",_xll.BDP(A40&amp;" US Equity","CUR_MKT_CAP")/1000000000)</f>
        <v/>
      </c>
      <c r="G40" s="6" t="str">
        <f>IF(A40="","",_xll.BDP(A40&amp;" US Equity","BETA_RAW_OVERRIDABLE"))</f>
        <v/>
      </c>
      <c r="H40" s="6" t="str">
        <f>IF(A40="","",_xll.BDP(A40&amp;" US Equity","BEST_PE_RATIO"))</f>
        <v/>
      </c>
      <c r="I40" s="6" t="str">
        <f>IF(A40="","",_xll.BDP(A40&amp;" US Equity","RETURN_ON_INV_CAPITAL"))</f>
        <v/>
      </c>
      <c r="J40" s="6" t="str">
        <f>IF(A40="","",_xll.BDP(A40&amp;" US Equity","RETURN_COM_EQY"))</f>
        <v/>
      </c>
      <c r="K40" s="6" t="str">
        <f>IF(A40="","",_xll.BDP(A40&amp;" US Equity","GROSS_MARGIN"))</f>
        <v/>
      </c>
      <c r="L40" s="6" t="str">
        <f>IF(A40="","",_xll.BDP(A40&amp;" US Equity","OPER_MARGIN"))</f>
        <v/>
      </c>
      <c r="M40" s="6" t="str">
        <f>IF(A40="","",_xll.BDP(A40&amp;" US Equity","NET_INCOME_MARGIN"))</f>
        <v/>
      </c>
      <c r="N40" s="6" t="str">
        <f>IF(A40="","",_xll.BDP(A40&amp;" US Equity","FREE_CASH_FLOW_YIELD"))</f>
        <v/>
      </c>
      <c r="O40" s="6" t="str">
        <f>IF(A40="","",_xll.BDP(A40&amp;" US Equity","TOT_DEBT_TO_TOT_EQY"))</f>
        <v/>
      </c>
      <c r="P40" s="6" t="str">
        <f>IF(A40="","",_xll.BDP(A40&amp;" US Equity","EQY_DVD_YLD_IND"))</f>
        <v/>
      </c>
      <c r="Q40" s="6" t="str">
        <f>IF(A40="","",_xll.BDP(A40&amp;" US Equity","BEST_CUR_EV_TO_EBITDA"))</f>
        <v/>
      </c>
      <c r="R40" s="6" t="str">
        <f>IF(A40="","",_xll.BDP(A40&amp;" US Equity","PX_TO_BOOK_RATIO"))</f>
        <v/>
      </c>
      <c r="S40" s="6" t="str">
        <f>IF(A40="","",_xll.BDP(A40&amp;" US Equity","RESEARCH_AND_DEV_TO_REVENUE"))</f>
        <v/>
      </c>
      <c r="T40" s="6" t="str">
        <f>IF(A40="","",_xll.BDP(A40&amp;" US Equity","REVENUE_5YR_CAGR"))</f>
        <v/>
      </c>
      <c r="U40" s="6" t="str">
        <f t="shared" si="1"/>
        <v/>
      </c>
    </row>
    <row r="41" spans="1:21" ht="15" customHeight="1" x14ac:dyDescent="0.25">
      <c r="A41" s="5"/>
      <c r="B41" s="6" t="str">
        <f>IF(A41="","",_xll.BDP(A41&amp;" US Equity","NAME"))</f>
        <v/>
      </c>
      <c r="C41" s="6" t="str">
        <f>IF(A41="","",_xll.BDP(A41&amp;" US Equity","GICS_SECTOR_NAME"))</f>
        <v/>
      </c>
      <c r="D41" s="6" t="str">
        <f>IF(A41="","",_xll.BDP(A41&amp;" US Equity","GICS_SUB_INDUSTRY_NAME"))</f>
        <v/>
      </c>
      <c r="E41" s="6" t="str">
        <f>IF(A41="","",_xll.BDP(A41&amp;" US Equity","PX_LAST"))</f>
        <v/>
      </c>
      <c r="F41" s="6" t="str">
        <f>IF(A41="","",_xll.BDP(A41&amp;" US Equity","CUR_MKT_CAP")/1000000000)</f>
        <v/>
      </c>
      <c r="G41" s="6" t="str">
        <f>IF(A41="","",_xll.BDP(A41&amp;" US Equity","BETA_RAW_OVERRIDABLE"))</f>
        <v/>
      </c>
      <c r="H41" s="6" t="str">
        <f>IF(A41="","",_xll.BDP(A41&amp;" US Equity","BEST_PE_RATIO"))</f>
        <v/>
      </c>
      <c r="I41" s="6" t="str">
        <f>IF(A41="","",_xll.BDP(A41&amp;" US Equity","RETURN_ON_INV_CAPITAL"))</f>
        <v/>
      </c>
      <c r="J41" s="6" t="str">
        <f>IF(A41="","",_xll.BDP(A41&amp;" US Equity","RETURN_COM_EQY"))</f>
        <v/>
      </c>
      <c r="K41" s="6" t="str">
        <f>IF(A41="","",_xll.BDP(A41&amp;" US Equity","GROSS_MARGIN"))</f>
        <v/>
      </c>
      <c r="L41" s="6" t="str">
        <f>IF(A41="","",_xll.BDP(A41&amp;" US Equity","OPER_MARGIN"))</f>
        <v/>
      </c>
      <c r="M41" s="6" t="str">
        <f>IF(A41="","",_xll.BDP(A41&amp;" US Equity","NET_INCOME_MARGIN"))</f>
        <v/>
      </c>
      <c r="N41" s="6" t="str">
        <f>IF(A41="","",_xll.BDP(A41&amp;" US Equity","FREE_CASH_FLOW_YIELD"))</f>
        <v/>
      </c>
      <c r="O41" s="6" t="str">
        <f>IF(A41="","",_xll.BDP(A41&amp;" US Equity","TOT_DEBT_TO_TOT_EQY"))</f>
        <v/>
      </c>
      <c r="P41" s="6" t="str">
        <f>IF(A41="","",_xll.BDP(A41&amp;" US Equity","EQY_DVD_YLD_IND"))</f>
        <v/>
      </c>
      <c r="Q41" s="6" t="str">
        <f>IF(A41="","",_xll.BDP(A41&amp;" US Equity","BEST_CUR_EV_TO_EBITDA"))</f>
        <v/>
      </c>
      <c r="R41" s="6" t="str">
        <f>IF(A41="","",_xll.BDP(A41&amp;" US Equity","PX_TO_BOOK_RATIO"))</f>
        <v/>
      </c>
      <c r="S41" s="6" t="str">
        <f>IF(A41="","",_xll.BDP(A41&amp;" US Equity","RESEARCH_AND_DEV_TO_REVENUE"))</f>
        <v/>
      </c>
      <c r="T41" s="6" t="str">
        <f>IF(A41="","",_xll.BDP(A41&amp;" US Equity","REVENUE_5YR_CAGR"))</f>
        <v/>
      </c>
      <c r="U41" s="6" t="str">
        <f t="shared" si="1"/>
        <v/>
      </c>
    </row>
    <row r="42" spans="1:21" ht="15" customHeight="1" x14ac:dyDescent="0.25">
      <c r="A42" s="5"/>
      <c r="B42" s="6" t="str">
        <f>IF(A42="","",_xll.BDP(A42&amp;" US Equity","NAME"))</f>
        <v/>
      </c>
      <c r="C42" s="6" t="str">
        <f>IF(A42="","",_xll.BDP(A42&amp;" US Equity","GICS_SECTOR_NAME"))</f>
        <v/>
      </c>
      <c r="D42" s="6" t="str">
        <f>IF(A42="","",_xll.BDP(A42&amp;" US Equity","GICS_SUB_INDUSTRY_NAME"))</f>
        <v/>
      </c>
      <c r="E42" s="6" t="str">
        <f>IF(A42="","",_xll.BDP(A42&amp;" US Equity","PX_LAST"))</f>
        <v/>
      </c>
      <c r="F42" s="6" t="str">
        <f>IF(A42="","",_xll.BDP(A42&amp;" US Equity","CUR_MKT_CAP")/1000000000)</f>
        <v/>
      </c>
      <c r="G42" s="6" t="str">
        <f>IF(A42="","",_xll.BDP(A42&amp;" US Equity","BETA_RAW_OVERRIDABLE"))</f>
        <v/>
      </c>
      <c r="H42" s="6" t="str">
        <f>IF(A42="","",_xll.BDP(A42&amp;" US Equity","BEST_PE_RATIO"))</f>
        <v/>
      </c>
      <c r="I42" s="6" t="str">
        <f>IF(A42="","",_xll.BDP(A42&amp;" US Equity","RETURN_ON_INV_CAPITAL"))</f>
        <v/>
      </c>
      <c r="J42" s="6" t="str">
        <f>IF(A42="","",_xll.BDP(A42&amp;" US Equity","RETURN_COM_EQY"))</f>
        <v/>
      </c>
      <c r="K42" s="6" t="str">
        <f>IF(A42="","",_xll.BDP(A42&amp;" US Equity","GROSS_MARGIN"))</f>
        <v/>
      </c>
      <c r="L42" s="6" t="str">
        <f>IF(A42="","",_xll.BDP(A42&amp;" US Equity","OPER_MARGIN"))</f>
        <v/>
      </c>
      <c r="M42" s="6" t="str">
        <f>IF(A42="","",_xll.BDP(A42&amp;" US Equity","NET_INCOME_MARGIN"))</f>
        <v/>
      </c>
      <c r="N42" s="6" t="str">
        <f>IF(A42="","",_xll.BDP(A42&amp;" US Equity","FREE_CASH_FLOW_YIELD"))</f>
        <v/>
      </c>
      <c r="O42" s="6" t="str">
        <f>IF(A42="","",_xll.BDP(A42&amp;" US Equity","TOT_DEBT_TO_TOT_EQY"))</f>
        <v/>
      </c>
      <c r="P42" s="6" t="str">
        <f>IF(A42="","",_xll.BDP(A42&amp;" US Equity","EQY_DVD_YLD_IND"))</f>
        <v/>
      </c>
      <c r="Q42" s="6" t="str">
        <f>IF(A42="","",_xll.BDP(A42&amp;" US Equity","BEST_CUR_EV_TO_EBITDA"))</f>
        <v/>
      </c>
      <c r="R42" s="6" t="str">
        <f>IF(A42="","",_xll.BDP(A42&amp;" US Equity","PX_TO_BOOK_RATIO"))</f>
        <v/>
      </c>
      <c r="S42" s="6" t="str">
        <f>IF(A42="","",_xll.BDP(A42&amp;" US Equity","RESEARCH_AND_DEV_TO_REVENUE"))</f>
        <v/>
      </c>
      <c r="T42" s="6" t="str">
        <f>IF(A42="","",_xll.BDP(A42&amp;" US Equity","REVENUE_5YR_CAGR"))</f>
        <v/>
      </c>
      <c r="U42" s="6" t="str">
        <f t="shared" si="1"/>
        <v/>
      </c>
    </row>
    <row r="43" spans="1:21" ht="15" customHeight="1" x14ac:dyDescent="0.25">
      <c r="A43" s="5"/>
      <c r="B43" s="6" t="str">
        <f>IF(A43="","",_xll.BDP(A43&amp;" US Equity","NAME"))</f>
        <v/>
      </c>
      <c r="C43" s="6" t="str">
        <f>IF(A43="","",_xll.BDP(A43&amp;" US Equity","GICS_SECTOR_NAME"))</f>
        <v/>
      </c>
      <c r="D43" s="6" t="str">
        <f>IF(A43="","",_xll.BDP(A43&amp;" US Equity","GICS_SUB_INDUSTRY_NAME"))</f>
        <v/>
      </c>
      <c r="E43" s="6" t="str">
        <f>IF(A43="","",_xll.BDP(A43&amp;" US Equity","PX_LAST"))</f>
        <v/>
      </c>
      <c r="F43" s="6" t="str">
        <f>IF(A43="","",_xll.BDP(A43&amp;" US Equity","CUR_MKT_CAP")/1000000000)</f>
        <v/>
      </c>
      <c r="G43" s="6" t="str">
        <f>IF(A43="","",_xll.BDP(A43&amp;" US Equity","BETA_RAW_OVERRIDABLE"))</f>
        <v/>
      </c>
      <c r="H43" s="6" t="str">
        <f>IF(A43="","",_xll.BDP(A43&amp;" US Equity","BEST_PE_RATIO"))</f>
        <v/>
      </c>
      <c r="I43" s="6" t="str">
        <f>IF(A43="","",_xll.BDP(A43&amp;" US Equity","RETURN_ON_INV_CAPITAL"))</f>
        <v/>
      </c>
      <c r="J43" s="6" t="str">
        <f>IF(A43="","",_xll.BDP(A43&amp;" US Equity","RETURN_COM_EQY"))</f>
        <v/>
      </c>
      <c r="K43" s="6" t="str">
        <f>IF(A43="","",_xll.BDP(A43&amp;" US Equity","GROSS_MARGIN"))</f>
        <v/>
      </c>
      <c r="L43" s="6" t="str">
        <f>IF(A43="","",_xll.BDP(A43&amp;" US Equity","OPER_MARGIN"))</f>
        <v/>
      </c>
      <c r="M43" s="6" t="str">
        <f>IF(A43="","",_xll.BDP(A43&amp;" US Equity","NET_INCOME_MARGIN"))</f>
        <v/>
      </c>
      <c r="N43" s="6" t="str">
        <f>IF(A43="","",_xll.BDP(A43&amp;" US Equity","FREE_CASH_FLOW_YIELD"))</f>
        <v/>
      </c>
      <c r="O43" s="6" t="str">
        <f>IF(A43="","",_xll.BDP(A43&amp;" US Equity","TOT_DEBT_TO_TOT_EQY"))</f>
        <v/>
      </c>
      <c r="P43" s="6" t="str">
        <f>IF(A43="","",_xll.BDP(A43&amp;" US Equity","EQY_DVD_YLD_IND"))</f>
        <v/>
      </c>
      <c r="Q43" s="6" t="str">
        <f>IF(A43="","",_xll.BDP(A43&amp;" US Equity","BEST_CUR_EV_TO_EBITDA"))</f>
        <v/>
      </c>
      <c r="R43" s="6" t="str">
        <f>IF(A43="","",_xll.BDP(A43&amp;" US Equity","PX_TO_BOOK_RATIO"))</f>
        <v/>
      </c>
      <c r="S43" s="6" t="str">
        <f>IF(A43="","",_xll.BDP(A43&amp;" US Equity","RESEARCH_AND_DEV_TO_REVENUE"))</f>
        <v/>
      </c>
      <c r="T43" s="6" t="str">
        <f>IF(A43="","",_xll.BDP(A43&amp;" US Equity","REVENUE_5YR_CAGR"))</f>
        <v/>
      </c>
      <c r="U43" s="6" t="str">
        <f t="shared" si="1"/>
        <v/>
      </c>
    </row>
    <row r="44" spans="1:21" ht="15" customHeight="1" x14ac:dyDescent="0.25">
      <c r="A44" s="5"/>
      <c r="B44" s="6" t="str">
        <f>IF(A44="","",_xll.BDP(A44&amp;" US Equity","NAME"))</f>
        <v/>
      </c>
      <c r="C44" s="6" t="str">
        <f>IF(A44="","",_xll.BDP(A44&amp;" US Equity","GICS_SECTOR_NAME"))</f>
        <v/>
      </c>
      <c r="D44" s="6" t="str">
        <f>IF(A44="","",_xll.BDP(A44&amp;" US Equity","GICS_SUB_INDUSTRY_NAME"))</f>
        <v/>
      </c>
      <c r="E44" s="6" t="str">
        <f>IF(A44="","",_xll.BDP(A44&amp;" US Equity","PX_LAST"))</f>
        <v/>
      </c>
      <c r="F44" s="6" t="str">
        <f>IF(A44="","",_xll.BDP(A44&amp;" US Equity","CUR_MKT_CAP")/1000000000)</f>
        <v/>
      </c>
      <c r="G44" s="6" t="str">
        <f>IF(A44="","",_xll.BDP(A44&amp;" US Equity","BETA_RAW_OVERRIDABLE"))</f>
        <v/>
      </c>
      <c r="H44" s="6" t="str">
        <f>IF(A44="","",_xll.BDP(A44&amp;" US Equity","BEST_PE_RATIO"))</f>
        <v/>
      </c>
      <c r="I44" s="6" t="str">
        <f>IF(A44="","",_xll.BDP(A44&amp;" US Equity","RETURN_ON_INV_CAPITAL"))</f>
        <v/>
      </c>
      <c r="J44" s="6" t="str">
        <f>IF(A44="","",_xll.BDP(A44&amp;" US Equity","RETURN_COM_EQY"))</f>
        <v/>
      </c>
      <c r="K44" s="6" t="str">
        <f>IF(A44="","",_xll.BDP(A44&amp;" US Equity","GROSS_MARGIN"))</f>
        <v/>
      </c>
      <c r="L44" s="6" t="str">
        <f>IF(A44="","",_xll.BDP(A44&amp;" US Equity","OPER_MARGIN"))</f>
        <v/>
      </c>
      <c r="M44" s="6" t="str">
        <f>IF(A44="","",_xll.BDP(A44&amp;" US Equity","NET_INCOME_MARGIN"))</f>
        <v/>
      </c>
      <c r="N44" s="6" t="str">
        <f>IF(A44="","",_xll.BDP(A44&amp;" US Equity","FREE_CASH_FLOW_YIELD"))</f>
        <v/>
      </c>
      <c r="O44" s="6" t="str">
        <f>IF(A44="","",_xll.BDP(A44&amp;" US Equity","TOT_DEBT_TO_TOT_EQY"))</f>
        <v/>
      </c>
      <c r="P44" s="6" t="str">
        <f>IF(A44="","",_xll.BDP(A44&amp;" US Equity","EQY_DVD_YLD_IND"))</f>
        <v/>
      </c>
      <c r="Q44" s="6" t="str">
        <f>IF(A44="","",_xll.BDP(A44&amp;" US Equity","BEST_CUR_EV_TO_EBITDA"))</f>
        <v/>
      </c>
      <c r="R44" s="6" t="str">
        <f>IF(A44="","",_xll.BDP(A44&amp;" US Equity","PX_TO_BOOK_RATIO"))</f>
        <v/>
      </c>
      <c r="S44" s="6" t="str">
        <f>IF(A44="","",_xll.BDP(A44&amp;" US Equity","RESEARCH_AND_DEV_TO_REVENUE"))</f>
        <v/>
      </c>
      <c r="T44" s="6" t="str">
        <f>IF(A44="","",_xll.BDP(A44&amp;" US Equity","REVENUE_5YR_CAGR"))</f>
        <v/>
      </c>
      <c r="U44" s="6" t="str">
        <f t="shared" si="1"/>
        <v/>
      </c>
    </row>
    <row r="45" spans="1:21" ht="15" customHeight="1" x14ac:dyDescent="0.25">
      <c r="A45" s="5"/>
      <c r="B45" s="6" t="str">
        <f>IF(A45="","",_xll.BDP(A45&amp;" US Equity","NAME"))</f>
        <v/>
      </c>
      <c r="C45" s="6" t="str">
        <f>IF(A45="","",_xll.BDP(A45&amp;" US Equity","GICS_SECTOR_NAME"))</f>
        <v/>
      </c>
      <c r="D45" s="6" t="str">
        <f>IF(A45="","",_xll.BDP(A45&amp;" US Equity","GICS_SUB_INDUSTRY_NAME"))</f>
        <v/>
      </c>
      <c r="E45" s="6" t="str">
        <f>IF(A45="","",_xll.BDP(A45&amp;" US Equity","PX_LAST"))</f>
        <v/>
      </c>
      <c r="F45" s="6" t="str">
        <f>IF(A45="","",_xll.BDP(A45&amp;" US Equity","CUR_MKT_CAP")/1000000000)</f>
        <v/>
      </c>
      <c r="G45" s="6" t="str">
        <f>IF(A45="","",_xll.BDP(A45&amp;" US Equity","BETA_RAW_OVERRIDABLE"))</f>
        <v/>
      </c>
      <c r="H45" s="6" t="str">
        <f>IF(A45="","",_xll.BDP(A45&amp;" US Equity","BEST_PE_RATIO"))</f>
        <v/>
      </c>
      <c r="I45" s="6" t="str">
        <f>IF(A45="","",_xll.BDP(A45&amp;" US Equity","RETURN_ON_INV_CAPITAL"))</f>
        <v/>
      </c>
      <c r="J45" s="6" t="str">
        <f>IF(A45="","",_xll.BDP(A45&amp;" US Equity","RETURN_COM_EQY"))</f>
        <v/>
      </c>
      <c r="K45" s="6" t="str">
        <f>IF(A45="","",_xll.BDP(A45&amp;" US Equity","GROSS_MARGIN"))</f>
        <v/>
      </c>
      <c r="L45" s="6" t="str">
        <f>IF(A45="","",_xll.BDP(A45&amp;" US Equity","OPER_MARGIN"))</f>
        <v/>
      </c>
      <c r="M45" s="6" t="str">
        <f>IF(A45="","",_xll.BDP(A45&amp;" US Equity","NET_INCOME_MARGIN"))</f>
        <v/>
      </c>
      <c r="N45" s="6" t="str">
        <f>IF(A45="","",_xll.BDP(A45&amp;" US Equity","FREE_CASH_FLOW_YIELD"))</f>
        <v/>
      </c>
      <c r="O45" s="6" t="str">
        <f>IF(A45="","",_xll.BDP(A45&amp;" US Equity","TOT_DEBT_TO_TOT_EQY"))</f>
        <v/>
      </c>
      <c r="P45" s="6" t="str">
        <f>IF(A45="","",_xll.BDP(A45&amp;" US Equity","EQY_DVD_YLD_IND"))</f>
        <v/>
      </c>
      <c r="Q45" s="6" t="str">
        <f>IF(A45="","",_xll.BDP(A45&amp;" US Equity","BEST_CUR_EV_TO_EBITDA"))</f>
        <v/>
      </c>
      <c r="R45" s="6" t="str">
        <f>IF(A45="","",_xll.BDP(A45&amp;" US Equity","PX_TO_BOOK_RATIO"))</f>
        <v/>
      </c>
      <c r="S45" s="6" t="str">
        <f>IF(A45="","",_xll.BDP(A45&amp;" US Equity","RESEARCH_AND_DEV_TO_REVENUE"))</f>
        <v/>
      </c>
      <c r="T45" s="6" t="str">
        <f>IF(A45="","",_xll.BDP(A45&amp;" US Equity","REVENUE_5YR_CAGR"))</f>
        <v/>
      </c>
      <c r="U45" s="6" t="str">
        <f t="shared" si="1"/>
        <v/>
      </c>
    </row>
    <row r="46" spans="1:21" ht="15" customHeight="1" x14ac:dyDescent="0.25">
      <c r="A46" s="5"/>
      <c r="B46" s="6" t="str">
        <f>IF(A46="","",_xll.BDP(A46&amp;" US Equity","NAME"))</f>
        <v/>
      </c>
      <c r="C46" s="6" t="str">
        <f>IF(A46="","",_xll.BDP(A46&amp;" US Equity","GICS_SECTOR_NAME"))</f>
        <v/>
      </c>
      <c r="D46" s="6" t="str">
        <f>IF(A46="","",_xll.BDP(A46&amp;" US Equity","GICS_SUB_INDUSTRY_NAME"))</f>
        <v/>
      </c>
      <c r="E46" s="6" t="str">
        <f>IF(A46="","",_xll.BDP(A46&amp;" US Equity","PX_LAST"))</f>
        <v/>
      </c>
      <c r="F46" s="6" t="str">
        <f>IF(A46="","",_xll.BDP(A46&amp;" US Equity","CUR_MKT_CAP")/1000000000)</f>
        <v/>
      </c>
      <c r="G46" s="6" t="str">
        <f>IF(A46="","",_xll.BDP(A46&amp;" US Equity","BETA_RAW_OVERRIDABLE"))</f>
        <v/>
      </c>
      <c r="H46" s="6" t="str">
        <f>IF(A46="","",_xll.BDP(A46&amp;" US Equity","BEST_PE_RATIO"))</f>
        <v/>
      </c>
      <c r="I46" s="6" t="str">
        <f>IF(A46="","",_xll.BDP(A46&amp;" US Equity","RETURN_ON_INV_CAPITAL"))</f>
        <v/>
      </c>
      <c r="J46" s="6" t="str">
        <f>IF(A46="","",_xll.BDP(A46&amp;" US Equity","RETURN_COM_EQY"))</f>
        <v/>
      </c>
      <c r="K46" s="6" t="str">
        <f>IF(A46="","",_xll.BDP(A46&amp;" US Equity","GROSS_MARGIN"))</f>
        <v/>
      </c>
      <c r="L46" s="6" t="str">
        <f>IF(A46="","",_xll.BDP(A46&amp;" US Equity","OPER_MARGIN"))</f>
        <v/>
      </c>
      <c r="M46" s="6" t="str">
        <f>IF(A46="","",_xll.BDP(A46&amp;" US Equity","NET_INCOME_MARGIN"))</f>
        <v/>
      </c>
      <c r="N46" s="6" t="str">
        <f>IF(A46="","",_xll.BDP(A46&amp;" US Equity","FREE_CASH_FLOW_YIELD"))</f>
        <v/>
      </c>
      <c r="O46" s="6" t="str">
        <f>IF(A46="","",_xll.BDP(A46&amp;" US Equity","TOT_DEBT_TO_TOT_EQY"))</f>
        <v/>
      </c>
      <c r="P46" s="6" t="str">
        <f>IF(A46="","",_xll.BDP(A46&amp;" US Equity","EQY_DVD_YLD_IND"))</f>
        <v/>
      </c>
      <c r="Q46" s="6" t="str">
        <f>IF(A46="","",_xll.BDP(A46&amp;" US Equity","BEST_CUR_EV_TO_EBITDA"))</f>
        <v/>
      </c>
      <c r="R46" s="6" t="str">
        <f>IF(A46="","",_xll.BDP(A46&amp;" US Equity","PX_TO_BOOK_RATIO"))</f>
        <v/>
      </c>
      <c r="S46" s="6" t="str">
        <f>IF(A46="","",_xll.BDP(A46&amp;" US Equity","RESEARCH_AND_DEV_TO_REVENUE"))</f>
        <v/>
      </c>
      <c r="T46" s="6" t="str">
        <f>IF(A46="","",_xll.BDP(A46&amp;" US Equity","REVENUE_5YR_CAGR"))</f>
        <v/>
      </c>
      <c r="U46" s="6" t="str">
        <f t="shared" si="1"/>
        <v/>
      </c>
    </row>
    <row r="47" spans="1:21" ht="15" customHeight="1" x14ac:dyDescent="0.25">
      <c r="A47" s="5"/>
      <c r="B47" s="6" t="str">
        <f>IF(A47="","",_xll.BDP(A47&amp;" US Equity","NAME"))</f>
        <v/>
      </c>
      <c r="C47" s="6" t="str">
        <f>IF(A47="","",_xll.BDP(A47&amp;" US Equity","GICS_SECTOR_NAME"))</f>
        <v/>
      </c>
      <c r="D47" s="6" t="str">
        <f>IF(A47="","",_xll.BDP(A47&amp;" US Equity","GICS_SUB_INDUSTRY_NAME"))</f>
        <v/>
      </c>
      <c r="E47" s="6" t="str">
        <f>IF(A47="","",_xll.BDP(A47&amp;" US Equity","PX_LAST"))</f>
        <v/>
      </c>
      <c r="F47" s="6" t="str">
        <f>IF(A47="","",_xll.BDP(A47&amp;" US Equity","CUR_MKT_CAP")/1000000000)</f>
        <v/>
      </c>
      <c r="G47" s="6" t="str">
        <f>IF(A47="","",_xll.BDP(A47&amp;" US Equity","BETA_RAW_OVERRIDABLE"))</f>
        <v/>
      </c>
      <c r="H47" s="6" t="str">
        <f>IF(A47="","",_xll.BDP(A47&amp;" US Equity","BEST_PE_RATIO"))</f>
        <v/>
      </c>
      <c r="I47" s="6" t="str">
        <f>IF(A47="","",_xll.BDP(A47&amp;" US Equity","RETURN_ON_INV_CAPITAL"))</f>
        <v/>
      </c>
      <c r="J47" s="6" t="str">
        <f>IF(A47="","",_xll.BDP(A47&amp;" US Equity","RETURN_COM_EQY"))</f>
        <v/>
      </c>
      <c r="K47" s="6" t="str">
        <f>IF(A47="","",_xll.BDP(A47&amp;" US Equity","GROSS_MARGIN"))</f>
        <v/>
      </c>
      <c r="L47" s="6" t="str">
        <f>IF(A47="","",_xll.BDP(A47&amp;" US Equity","OPER_MARGIN"))</f>
        <v/>
      </c>
      <c r="M47" s="6" t="str">
        <f>IF(A47="","",_xll.BDP(A47&amp;" US Equity","NET_INCOME_MARGIN"))</f>
        <v/>
      </c>
      <c r="N47" s="6" t="str">
        <f>IF(A47="","",_xll.BDP(A47&amp;" US Equity","FREE_CASH_FLOW_YIELD"))</f>
        <v/>
      </c>
      <c r="O47" s="6" t="str">
        <f>IF(A47="","",_xll.BDP(A47&amp;" US Equity","TOT_DEBT_TO_TOT_EQY"))</f>
        <v/>
      </c>
      <c r="P47" s="6" t="str">
        <f>IF(A47="","",_xll.BDP(A47&amp;" US Equity","EQY_DVD_YLD_IND"))</f>
        <v/>
      </c>
      <c r="Q47" s="6" t="str">
        <f>IF(A47="","",_xll.BDP(A47&amp;" US Equity","BEST_CUR_EV_TO_EBITDA"))</f>
        <v/>
      </c>
      <c r="R47" s="6" t="str">
        <f>IF(A47="","",_xll.BDP(A47&amp;" US Equity","PX_TO_BOOK_RATIO"))</f>
        <v/>
      </c>
      <c r="S47" s="6" t="str">
        <f>IF(A47="","",_xll.BDP(A47&amp;" US Equity","RESEARCH_AND_DEV_TO_REVENUE"))</f>
        <v/>
      </c>
      <c r="T47" s="6" t="str">
        <f>IF(A47="","",_xll.BDP(A47&amp;" US Equity","REVENUE_5YR_CAGR"))</f>
        <v/>
      </c>
      <c r="U47" s="6" t="str">
        <f t="shared" si="1"/>
        <v/>
      </c>
    </row>
    <row r="48" spans="1:21" ht="15" customHeight="1" x14ac:dyDescent="0.25">
      <c r="A48" s="5"/>
      <c r="B48" s="6" t="str">
        <f>IF(A48="","",_xll.BDP(A48&amp;" US Equity","NAME"))</f>
        <v/>
      </c>
      <c r="C48" s="6" t="str">
        <f>IF(A48="","",_xll.BDP(A48&amp;" US Equity","GICS_SECTOR_NAME"))</f>
        <v/>
      </c>
      <c r="D48" s="6" t="str">
        <f>IF(A48="","",_xll.BDP(A48&amp;" US Equity","GICS_SUB_INDUSTRY_NAME"))</f>
        <v/>
      </c>
      <c r="E48" s="6" t="str">
        <f>IF(A48="","",_xll.BDP(A48&amp;" US Equity","PX_LAST"))</f>
        <v/>
      </c>
      <c r="F48" s="6" t="str">
        <f>IF(A48="","",_xll.BDP(A48&amp;" US Equity","CUR_MKT_CAP")/1000000000)</f>
        <v/>
      </c>
      <c r="G48" s="6" t="str">
        <f>IF(A48="","",_xll.BDP(A48&amp;" US Equity","BETA_RAW_OVERRIDABLE"))</f>
        <v/>
      </c>
      <c r="H48" s="6" t="str">
        <f>IF(A48="","",_xll.BDP(A48&amp;" US Equity","BEST_PE_RATIO"))</f>
        <v/>
      </c>
      <c r="I48" s="6" t="str">
        <f>IF(A48="","",_xll.BDP(A48&amp;" US Equity","RETURN_ON_INV_CAPITAL"))</f>
        <v/>
      </c>
      <c r="J48" s="6" t="str">
        <f>IF(A48="","",_xll.BDP(A48&amp;" US Equity","RETURN_COM_EQY"))</f>
        <v/>
      </c>
      <c r="K48" s="6" t="str">
        <f>IF(A48="","",_xll.BDP(A48&amp;" US Equity","GROSS_MARGIN"))</f>
        <v/>
      </c>
      <c r="L48" s="6" t="str">
        <f>IF(A48="","",_xll.BDP(A48&amp;" US Equity","OPER_MARGIN"))</f>
        <v/>
      </c>
      <c r="M48" s="6" t="str">
        <f>IF(A48="","",_xll.BDP(A48&amp;" US Equity","NET_INCOME_MARGIN"))</f>
        <v/>
      </c>
      <c r="N48" s="6" t="str">
        <f>IF(A48="","",_xll.BDP(A48&amp;" US Equity","FREE_CASH_FLOW_YIELD"))</f>
        <v/>
      </c>
      <c r="O48" s="6" t="str">
        <f>IF(A48="","",_xll.BDP(A48&amp;" US Equity","TOT_DEBT_TO_TOT_EQY"))</f>
        <v/>
      </c>
      <c r="P48" s="6" t="str">
        <f>IF(A48="","",_xll.BDP(A48&amp;" US Equity","EQY_DVD_YLD_IND"))</f>
        <v/>
      </c>
      <c r="Q48" s="6" t="str">
        <f>IF(A48="","",_xll.BDP(A48&amp;" US Equity","BEST_CUR_EV_TO_EBITDA"))</f>
        <v/>
      </c>
      <c r="R48" s="6" t="str">
        <f>IF(A48="","",_xll.BDP(A48&amp;" US Equity","PX_TO_BOOK_RATIO"))</f>
        <v/>
      </c>
      <c r="S48" s="6" t="str">
        <f>IF(A48="","",_xll.BDP(A48&amp;" US Equity","RESEARCH_AND_DEV_TO_REVENUE"))</f>
        <v/>
      </c>
      <c r="T48" s="6" t="str">
        <f>IF(A48="","",_xll.BDP(A48&amp;" US Equity","REVENUE_5YR_CAGR"))</f>
        <v/>
      </c>
      <c r="U48" s="6" t="str">
        <f t="shared" si="1"/>
        <v/>
      </c>
    </row>
    <row r="49" spans="1:21" ht="15" customHeight="1" x14ac:dyDescent="0.25">
      <c r="A49" s="5"/>
      <c r="B49" s="6" t="str">
        <f>IF(A49="","",_xll.BDP(A49&amp;" US Equity","NAME"))</f>
        <v/>
      </c>
      <c r="C49" s="6" t="str">
        <f>IF(A49="","",_xll.BDP(A49&amp;" US Equity","GICS_SECTOR_NAME"))</f>
        <v/>
      </c>
      <c r="D49" s="6" t="str">
        <f>IF(A49="","",_xll.BDP(A49&amp;" US Equity","GICS_SUB_INDUSTRY_NAME"))</f>
        <v/>
      </c>
      <c r="E49" s="6" t="str">
        <f>IF(A49="","",_xll.BDP(A49&amp;" US Equity","PX_LAST"))</f>
        <v/>
      </c>
      <c r="F49" s="6" t="str">
        <f>IF(A49="","",_xll.BDP(A49&amp;" US Equity","CUR_MKT_CAP")/1000000000)</f>
        <v/>
      </c>
      <c r="G49" s="6" t="str">
        <f>IF(A49="","",_xll.BDP(A49&amp;" US Equity","BETA_RAW_OVERRIDABLE"))</f>
        <v/>
      </c>
      <c r="H49" s="6" t="str">
        <f>IF(A49="","",_xll.BDP(A49&amp;" US Equity","BEST_PE_RATIO"))</f>
        <v/>
      </c>
      <c r="I49" s="6" t="str">
        <f>IF(A49="","",_xll.BDP(A49&amp;" US Equity","RETURN_ON_INV_CAPITAL"))</f>
        <v/>
      </c>
      <c r="J49" s="6" t="str">
        <f>IF(A49="","",_xll.BDP(A49&amp;" US Equity","RETURN_COM_EQY"))</f>
        <v/>
      </c>
      <c r="K49" s="6" t="str">
        <f>IF(A49="","",_xll.BDP(A49&amp;" US Equity","GROSS_MARGIN"))</f>
        <v/>
      </c>
      <c r="L49" s="6" t="str">
        <f>IF(A49="","",_xll.BDP(A49&amp;" US Equity","OPER_MARGIN"))</f>
        <v/>
      </c>
      <c r="M49" s="6" t="str">
        <f>IF(A49="","",_xll.BDP(A49&amp;" US Equity","NET_INCOME_MARGIN"))</f>
        <v/>
      </c>
      <c r="N49" s="6" t="str">
        <f>IF(A49="","",_xll.BDP(A49&amp;" US Equity","FREE_CASH_FLOW_YIELD"))</f>
        <v/>
      </c>
      <c r="O49" s="6" t="str">
        <f>IF(A49="","",_xll.BDP(A49&amp;" US Equity","TOT_DEBT_TO_TOT_EQY"))</f>
        <v/>
      </c>
      <c r="P49" s="6" t="str">
        <f>IF(A49="","",_xll.BDP(A49&amp;" US Equity","EQY_DVD_YLD_IND"))</f>
        <v/>
      </c>
      <c r="Q49" s="6" t="str">
        <f>IF(A49="","",_xll.BDP(A49&amp;" US Equity","BEST_CUR_EV_TO_EBITDA"))</f>
        <v/>
      </c>
      <c r="R49" s="6" t="str">
        <f>IF(A49="","",_xll.BDP(A49&amp;" US Equity","PX_TO_BOOK_RATIO"))</f>
        <v/>
      </c>
      <c r="S49" s="6" t="str">
        <f>IF(A49="","",_xll.BDP(A49&amp;" US Equity","RESEARCH_AND_DEV_TO_REVENUE"))</f>
        <v/>
      </c>
      <c r="T49" s="6" t="str">
        <f>IF(A49="","",_xll.BDP(A49&amp;" US Equity","REVENUE_5YR_CAGR"))</f>
        <v/>
      </c>
      <c r="U49" s="6" t="str">
        <f t="shared" si="1"/>
        <v/>
      </c>
    </row>
    <row r="50" spans="1:21" ht="15" customHeight="1" x14ac:dyDescent="0.25">
      <c r="A50" s="5"/>
      <c r="B50" s="6" t="str">
        <f>IF(A50="","",_xll.BDP(A50&amp;" US Equity","NAME"))</f>
        <v/>
      </c>
      <c r="C50" s="6" t="str">
        <f>IF(A50="","",_xll.BDP(A50&amp;" US Equity","GICS_SECTOR_NAME"))</f>
        <v/>
      </c>
      <c r="D50" s="6" t="str">
        <f>IF(A50="","",_xll.BDP(A50&amp;" US Equity","GICS_SUB_INDUSTRY_NAME"))</f>
        <v/>
      </c>
      <c r="E50" s="6" t="str">
        <f>IF(A50="","",_xll.BDP(A50&amp;" US Equity","PX_LAST"))</f>
        <v/>
      </c>
      <c r="F50" s="6" t="str">
        <f>IF(A50="","",_xll.BDP(A50&amp;" US Equity","CUR_MKT_CAP")/1000000000)</f>
        <v/>
      </c>
      <c r="G50" s="6" t="str">
        <f>IF(A50="","",_xll.BDP(A50&amp;" US Equity","BETA_RAW_OVERRIDABLE"))</f>
        <v/>
      </c>
      <c r="H50" s="6" t="str">
        <f>IF(A50="","",_xll.BDP(A50&amp;" US Equity","BEST_PE_RATIO"))</f>
        <v/>
      </c>
      <c r="I50" s="6" t="str">
        <f>IF(A50="","",_xll.BDP(A50&amp;" US Equity","RETURN_ON_INV_CAPITAL"))</f>
        <v/>
      </c>
      <c r="J50" s="6" t="str">
        <f>IF(A50="","",_xll.BDP(A50&amp;" US Equity","RETURN_COM_EQY"))</f>
        <v/>
      </c>
      <c r="K50" s="6" t="str">
        <f>IF(A50="","",_xll.BDP(A50&amp;" US Equity","GROSS_MARGIN"))</f>
        <v/>
      </c>
      <c r="L50" s="6" t="str">
        <f>IF(A50="","",_xll.BDP(A50&amp;" US Equity","OPER_MARGIN"))</f>
        <v/>
      </c>
      <c r="M50" s="6" t="str">
        <f>IF(A50="","",_xll.BDP(A50&amp;" US Equity","NET_INCOME_MARGIN"))</f>
        <v/>
      </c>
      <c r="N50" s="6" t="str">
        <f>IF(A50="","",_xll.BDP(A50&amp;" US Equity","FREE_CASH_FLOW_YIELD"))</f>
        <v/>
      </c>
      <c r="O50" s="6" t="str">
        <f>IF(A50="","",_xll.BDP(A50&amp;" US Equity","TOT_DEBT_TO_TOT_EQY"))</f>
        <v/>
      </c>
      <c r="P50" s="6" t="str">
        <f>IF(A50="","",_xll.BDP(A50&amp;" US Equity","EQY_DVD_YLD_IND"))</f>
        <v/>
      </c>
      <c r="Q50" s="6" t="str">
        <f>IF(A50="","",_xll.BDP(A50&amp;" US Equity","BEST_CUR_EV_TO_EBITDA"))</f>
        <v/>
      </c>
      <c r="R50" s="6" t="str">
        <f>IF(A50="","",_xll.BDP(A50&amp;" US Equity","PX_TO_BOOK_RATIO"))</f>
        <v/>
      </c>
      <c r="S50" s="6" t="str">
        <f>IF(A50="","",_xll.BDP(A50&amp;" US Equity","RESEARCH_AND_DEV_TO_REVENUE"))</f>
        <v/>
      </c>
      <c r="T50" s="6" t="str">
        <f>IF(A50="","",_xll.BDP(A50&amp;" US Equity","REVENUE_5YR_CAGR"))</f>
        <v/>
      </c>
      <c r="U50" s="6" t="str">
        <f t="shared" si="1"/>
        <v/>
      </c>
    </row>
    <row r="51" spans="1:21" ht="15" customHeight="1" x14ac:dyDescent="0.25">
      <c r="A51" s="5"/>
      <c r="B51" s="6" t="str">
        <f>IF(A51="","",_xll.BDP(A51&amp;" US Equity","NAME"))</f>
        <v/>
      </c>
      <c r="C51" s="6" t="str">
        <f>IF(A51="","",_xll.BDP(A51&amp;" US Equity","GICS_SECTOR_NAME"))</f>
        <v/>
      </c>
      <c r="D51" s="6" t="str">
        <f>IF(A51="","",_xll.BDP(A51&amp;" US Equity","GICS_SUB_INDUSTRY_NAME"))</f>
        <v/>
      </c>
      <c r="E51" s="6" t="str">
        <f>IF(A51="","",_xll.BDP(A51&amp;" US Equity","PX_LAST"))</f>
        <v/>
      </c>
      <c r="F51" s="6" t="str">
        <f>IF(A51="","",_xll.BDP(A51&amp;" US Equity","CUR_MKT_CAP")/1000000000)</f>
        <v/>
      </c>
      <c r="G51" s="6" t="str">
        <f>IF(A51="","",_xll.BDP(A51&amp;" US Equity","BETA_RAW_OVERRIDABLE"))</f>
        <v/>
      </c>
      <c r="H51" s="6" t="str">
        <f>IF(A51="","",_xll.BDP(A51&amp;" US Equity","BEST_PE_RATIO"))</f>
        <v/>
      </c>
      <c r="I51" s="6" t="str">
        <f>IF(A51="","",_xll.BDP(A51&amp;" US Equity","RETURN_ON_INV_CAPITAL"))</f>
        <v/>
      </c>
      <c r="J51" s="6" t="str">
        <f>IF(A51="","",_xll.BDP(A51&amp;" US Equity","RETURN_COM_EQY"))</f>
        <v/>
      </c>
      <c r="K51" s="6" t="str">
        <f>IF(A51="","",_xll.BDP(A51&amp;" US Equity","GROSS_MARGIN"))</f>
        <v/>
      </c>
      <c r="L51" s="6" t="str">
        <f>IF(A51="","",_xll.BDP(A51&amp;" US Equity","OPER_MARGIN"))</f>
        <v/>
      </c>
      <c r="M51" s="6" t="str">
        <f>IF(A51="","",_xll.BDP(A51&amp;" US Equity","NET_INCOME_MARGIN"))</f>
        <v/>
      </c>
      <c r="N51" s="6" t="str">
        <f>IF(A51="","",_xll.BDP(A51&amp;" US Equity","FREE_CASH_FLOW_YIELD"))</f>
        <v/>
      </c>
      <c r="O51" s="6" t="str">
        <f>IF(A51="","",_xll.BDP(A51&amp;" US Equity","TOT_DEBT_TO_TOT_EQY"))</f>
        <v/>
      </c>
      <c r="P51" s="6" t="str">
        <f>IF(A51="","",_xll.BDP(A51&amp;" US Equity","EQY_DVD_YLD_IND"))</f>
        <v/>
      </c>
      <c r="Q51" s="6" t="str">
        <f>IF(A51="","",_xll.BDP(A51&amp;" US Equity","BEST_CUR_EV_TO_EBITDA"))</f>
        <v/>
      </c>
      <c r="R51" s="6" t="str">
        <f>IF(A51="","",_xll.BDP(A51&amp;" US Equity","PX_TO_BOOK_RATIO"))</f>
        <v/>
      </c>
      <c r="S51" s="6" t="str">
        <f>IF(A51="","",_xll.BDP(A51&amp;" US Equity","RESEARCH_AND_DEV_TO_REVENUE"))</f>
        <v/>
      </c>
      <c r="T51" s="6" t="str">
        <f>IF(A51="","",_xll.BDP(A51&amp;" US Equity","REVENUE_5YR_CAGR"))</f>
        <v/>
      </c>
      <c r="U51" s="6" t="str">
        <f t="shared" si="1"/>
        <v/>
      </c>
    </row>
    <row r="52" spans="1:21" ht="15" customHeight="1" x14ac:dyDescent="0.25">
      <c r="A52" s="5"/>
      <c r="B52" s="6" t="str">
        <f>IF(A52="","",_xll.BDP(A52&amp;" US Equity","NAME"))</f>
        <v/>
      </c>
      <c r="C52" s="6" t="str">
        <f>IF(A52="","",_xll.BDP(A52&amp;" US Equity","GICS_SECTOR_NAME"))</f>
        <v/>
      </c>
      <c r="D52" s="6" t="str">
        <f>IF(A52="","",_xll.BDP(A52&amp;" US Equity","GICS_SUB_INDUSTRY_NAME"))</f>
        <v/>
      </c>
      <c r="E52" s="6" t="str">
        <f>IF(A52="","",_xll.BDP(A52&amp;" US Equity","PX_LAST"))</f>
        <v/>
      </c>
      <c r="F52" s="6" t="str">
        <f>IF(A52="","",_xll.BDP(A52&amp;" US Equity","CUR_MKT_CAP")/1000000000)</f>
        <v/>
      </c>
      <c r="G52" s="6" t="str">
        <f>IF(A52="","",_xll.BDP(A52&amp;" US Equity","BETA_RAW_OVERRIDABLE"))</f>
        <v/>
      </c>
      <c r="H52" s="6" t="str">
        <f>IF(A52="","",_xll.BDP(A52&amp;" US Equity","BEST_PE_RATIO"))</f>
        <v/>
      </c>
      <c r="I52" s="6" t="str">
        <f>IF(A52="","",_xll.BDP(A52&amp;" US Equity","RETURN_ON_INV_CAPITAL"))</f>
        <v/>
      </c>
      <c r="J52" s="6" t="str">
        <f>IF(A52="","",_xll.BDP(A52&amp;" US Equity","RETURN_COM_EQY"))</f>
        <v/>
      </c>
      <c r="K52" s="6" t="str">
        <f>IF(A52="","",_xll.BDP(A52&amp;" US Equity","GROSS_MARGIN"))</f>
        <v/>
      </c>
      <c r="L52" s="6" t="str">
        <f>IF(A52="","",_xll.BDP(A52&amp;" US Equity","OPER_MARGIN"))</f>
        <v/>
      </c>
      <c r="M52" s="6" t="str">
        <f>IF(A52="","",_xll.BDP(A52&amp;" US Equity","NET_INCOME_MARGIN"))</f>
        <v/>
      </c>
      <c r="N52" s="6" t="str">
        <f>IF(A52="","",_xll.BDP(A52&amp;" US Equity","FREE_CASH_FLOW_YIELD"))</f>
        <v/>
      </c>
      <c r="O52" s="6" t="str">
        <f>IF(A52="","",_xll.BDP(A52&amp;" US Equity","TOT_DEBT_TO_TOT_EQY"))</f>
        <v/>
      </c>
      <c r="P52" s="6" t="str">
        <f>IF(A52="","",_xll.BDP(A52&amp;" US Equity","EQY_DVD_YLD_IND"))</f>
        <v/>
      </c>
      <c r="Q52" s="6" t="str">
        <f>IF(A52="","",_xll.BDP(A52&amp;" US Equity","BEST_CUR_EV_TO_EBITDA"))</f>
        <v/>
      </c>
      <c r="R52" s="6" t="str">
        <f>IF(A52="","",_xll.BDP(A52&amp;" US Equity","PX_TO_BOOK_RATIO"))</f>
        <v/>
      </c>
      <c r="S52" s="6" t="str">
        <f>IF(A52="","",_xll.BDP(A52&amp;" US Equity","RESEARCH_AND_DEV_TO_REVENUE"))</f>
        <v/>
      </c>
      <c r="T52" s="6" t="str">
        <f>IF(A52="","",_xll.BDP(A52&amp;" US Equity","REVENUE_5YR_CAGR"))</f>
        <v/>
      </c>
      <c r="U52" s="6" t="str">
        <f t="shared" si="1"/>
        <v/>
      </c>
    </row>
    <row r="53" spans="1:21" ht="15" customHeight="1" x14ac:dyDescent="0.25">
      <c r="A53" s="5"/>
      <c r="B53" s="6" t="str">
        <f>IF(A53="","",_xll.BDP(A53&amp;" US Equity","NAME"))</f>
        <v/>
      </c>
      <c r="C53" s="6" t="str">
        <f>IF(A53="","",_xll.BDP(A53&amp;" US Equity","GICS_SECTOR_NAME"))</f>
        <v/>
      </c>
      <c r="D53" s="6" t="str">
        <f>IF(A53="","",_xll.BDP(A53&amp;" US Equity","GICS_SUB_INDUSTRY_NAME"))</f>
        <v/>
      </c>
      <c r="E53" s="6" t="str">
        <f>IF(A53="","",_xll.BDP(A53&amp;" US Equity","PX_LAST"))</f>
        <v/>
      </c>
      <c r="F53" s="6" t="str">
        <f>IF(A53="","",_xll.BDP(A53&amp;" US Equity","CUR_MKT_CAP")/1000000000)</f>
        <v/>
      </c>
      <c r="G53" s="6" t="str">
        <f>IF(A53="","",_xll.BDP(A53&amp;" US Equity","BETA_RAW_OVERRIDABLE"))</f>
        <v/>
      </c>
      <c r="H53" s="6" t="str">
        <f>IF(A53="","",_xll.BDP(A53&amp;" US Equity","BEST_PE_RATIO"))</f>
        <v/>
      </c>
      <c r="I53" s="6" t="str">
        <f>IF(A53="","",_xll.BDP(A53&amp;" US Equity","RETURN_ON_INV_CAPITAL"))</f>
        <v/>
      </c>
      <c r="J53" s="6" t="str">
        <f>IF(A53="","",_xll.BDP(A53&amp;" US Equity","RETURN_COM_EQY"))</f>
        <v/>
      </c>
      <c r="K53" s="6" t="str">
        <f>IF(A53="","",_xll.BDP(A53&amp;" US Equity","GROSS_MARGIN"))</f>
        <v/>
      </c>
      <c r="L53" s="6" t="str">
        <f>IF(A53="","",_xll.BDP(A53&amp;" US Equity","OPER_MARGIN"))</f>
        <v/>
      </c>
      <c r="M53" s="6" t="str">
        <f>IF(A53="","",_xll.BDP(A53&amp;" US Equity","NET_INCOME_MARGIN"))</f>
        <v/>
      </c>
      <c r="N53" s="6" t="str">
        <f>IF(A53="","",_xll.BDP(A53&amp;" US Equity","FREE_CASH_FLOW_YIELD"))</f>
        <v/>
      </c>
      <c r="O53" s="6" t="str">
        <f>IF(A53="","",_xll.BDP(A53&amp;" US Equity","TOT_DEBT_TO_TOT_EQY"))</f>
        <v/>
      </c>
      <c r="P53" s="6" t="str">
        <f>IF(A53="","",_xll.BDP(A53&amp;" US Equity","EQY_DVD_YLD_IND"))</f>
        <v/>
      </c>
      <c r="Q53" s="6" t="str">
        <f>IF(A53="","",_xll.BDP(A53&amp;" US Equity","BEST_CUR_EV_TO_EBITDA"))</f>
        <v/>
      </c>
      <c r="R53" s="6" t="str">
        <f>IF(A53="","",_xll.BDP(A53&amp;" US Equity","PX_TO_BOOK_RATIO"))</f>
        <v/>
      </c>
      <c r="S53" s="6" t="str">
        <f>IF(A53="","",_xll.BDP(A53&amp;" US Equity","RESEARCH_AND_DEV_TO_REVENUE"))</f>
        <v/>
      </c>
      <c r="T53" s="6" t="str">
        <f>IF(A53="","",_xll.BDP(A53&amp;" US Equity","REVENUE_5YR_CAGR"))</f>
        <v/>
      </c>
      <c r="U53" s="6" t="str">
        <f t="shared" si="1"/>
        <v/>
      </c>
    </row>
    <row r="54" spans="1:21" ht="15" customHeight="1" x14ac:dyDescent="0.25">
      <c r="A54" s="5"/>
      <c r="B54" s="6" t="str">
        <f>IF(A54="","",_xll.BDP(A54&amp;" US Equity","NAME"))</f>
        <v/>
      </c>
      <c r="C54" s="6" t="str">
        <f>IF(A54="","",_xll.BDP(A54&amp;" US Equity","GICS_SECTOR_NAME"))</f>
        <v/>
      </c>
      <c r="D54" s="6" t="str">
        <f>IF(A54="","",_xll.BDP(A54&amp;" US Equity","GICS_SUB_INDUSTRY_NAME"))</f>
        <v/>
      </c>
      <c r="E54" s="6" t="str">
        <f>IF(A54="","",_xll.BDP(A54&amp;" US Equity","PX_LAST"))</f>
        <v/>
      </c>
      <c r="F54" s="6" t="str">
        <f>IF(A54="","",_xll.BDP(A54&amp;" US Equity","CUR_MKT_CAP")/1000000000)</f>
        <v/>
      </c>
      <c r="G54" s="6" t="str">
        <f>IF(A54="","",_xll.BDP(A54&amp;" US Equity","BETA_RAW_OVERRIDABLE"))</f>
        <v/>
      </c>
      <c r="H54" s="6" t="str">
        <f>IF(A54="","",_xll.BDP(A54&amp;" US Equity","BEST_PE_RATIO"))</f>
        <v/>
      </c>
      <c r="I54" s="6" t="str">
        <f>IF(A54="","",_xll.BDP(A54&amp;" US Equity","RETURN_ON_INV_CAPITAL"))</f>
        <v/>
      </c>
      <c r="J54" s="6" t="str">
        <f>IF(A54="","",_xll.BDP(A54&amp;" US Equity","RETURN_COM_EQY"))</f>
        <v/>
      </c>
      <c r="K54" s="6" t="str">
        <f>IF(A54="","",_xll.BDP(A54&amp;" US Equity","GROSS_MARGIN"))</f>
        <v/>
      </c>
      <c r="L54" s="6" t="str">
        <f>IF(A54="","",_xll.BDP(A54&amp;" US Equity","OPER_MARGIN"))</f>
        <v/>
      </c>
      <c r="M54" s="6" t="str">
        <f>IF(A54="","",_xll.BDP(A54&amp;" US Equity","NET_INCOME_MARGIN"))</f>
        <v/>
      </c>
      <c r="N54" s="6" t="str">
        <f>IF(A54="","",_xll.BDP(A54&amp;" US Equity","FREE_CASH_FLOW_YIELD"))</f>
        <v/>
      </c>
      <c r="O54" s="6" t="str">
        <f>IF(A54="","",_xll.BDP(A54&amp;" US Equity","TOT_DEBT_TO_TOT_EQY"))</f>
        <v/>
      </c>
      <c r="P54" s="6" t="str">
        <f>IF(A54="","",_xll.BDP(A54&amp;" US Equity","EQY_DVD_YLD_IND"))</f>
        <v/>
      </c>
      <c r="Q54" s="6" t="str">
        <f>IF(A54="","",_xll.BDP(A54&amp;" US Equity","BEST_CUR_EV_TO_EBITDA"))</f>
        <v/>
      </c>
      <c r="R54" s="6" t="str">
        <f>IF(A54="","",_xll.BDP(A54&amp;" US Equity","PX_TO_BOOK_RATIO"))</f>
        <v/>
      </c>
      <c r="S54" s="6" t="str">
        <f>IF(A54="","",_xll.BDP(A54&amp;" US Equity","RESEARCH_AND_DEV_TO_REVENUE"))</f>
        <v/>
      </c>
      <c r="T54" s="6" t="str">
        <f>IF(A54="","",_xll.BDP(A54&amp;" US Equity","REVENUE_5YR_CAGR"))</f>
        <v/>
      </c>
      <c r="U54" s="6" t="str">
        <f t="shared" si="1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3B02A"/>
  </sheetPr>
  <dimension ref="A1:U54"/>
  <sheetViews>
    <sheetView zoomScaleNormal="100" workbookViewId="0">
      <selection activeCell="M25" sqref="M25"/>
    </sheetView>
  </sheetViews>
  <sheetFormatPr defaultColWidth="8.7109375" defaultRowHeight="15" x14ac:dyDescent="0.25"/>
  <cols>
    <col min="1" max="1" width="8" customWidth="1"/>
    <col min="2" max="14" width="7" customWidth="1"/>
    <col min="15" max="15" width="10" customWidth="1"/>
    <col min="16" max="20" width="7" customWidth="1"/>
    <col min="21" max="21" width="8" customWidth="1"/>
  </cols>
  <sheetData>
    <row r="1" spans="1:21" ht="17.25" customHeight="1" x14ac:dyDescent="0.25">
      <c r="A1" s="1" t="s">
        <v>44</v>
      </c>
    </row>
    <row r="2" spans="1:21" ht="15" customHeight="1" x14ac:dyDescent="0.25">
      <c r="A2" s="2" t="s">
        <v>45</v>
      </c>
    </row>
    <row r="3" spans="1:21" x14ac:dyDescent="0.25">
      <c r="A3" s="3" t="s">
        <v>46</v>
      </c>
    </row>
    <row r="4" spans="1:21" ht="39" customHeight="1" x14ac:dyDescent="0.25">
      <c r="A4" s="4" t="s">
        <v>3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56</v>
      </c>
      <c r="L4" s="4" t="s">
        <v>57</v>
      </c>
      <c r="M4" s="4" t="s">
        <v>58</v>
      </c>
      <c r="N4" s="4" t="s">
        <v>59</v>
      </c>
      <c r="O4" s="4" t="s">
        <v>60</v>
      </c>
      <c r="P4" s="4" t="s">
        <v>61</v>
      </c>
      <c r="Q4" s="4" t="s">
        <v>62</v>
      </c>
      <c r="R4" s="4" t="s">
        <v>63</v>
      </c>
      <c r="S4" s="4" t="s">
        <v>64</v>
      </c>
      <c r="T4" s="4" t="s">
        <v>65</v>
      </c>
      <c r="U4" s="4" t="s">
        <v>66</v>
      </c>
    </row>
    <row r="5" spans="1:21" ht="15" customHeight="1" x14ac:dyDescent="0.25">
      <c r="A5" s="7" t="str">
        <f>'Portfolio Input'!A5</f>
        <v>AAPL</v>
      </c>
      <c r="B5" s="8">
        <f>IF('Portfolio Input'!C5="","",IFERROR(VLOOKUP('Portfolio Input'!C5,'Sector Analysis'!$A$4:$O$15,2,FALSE()),""))</f>
        <v>4</v>
      </c>
      <c r="C5" s="8">
        <f>IF('Portfolio Input'!C5="","",IFERROR(VLOOKUP('Portfolio Input'!C5,'Sector Analysis'!$A$4:$O$15,3,FALSE()),""))</f>
        <v>4</v>
      </c>
      <c r="D5" s="8">
        <f>IF('Portfolio Input'!C5="","",IFERROR(VLOOKUP('Portfolio Input'!C5,'Sector Analysis'!$A$4:$O$15,4,FALSE()),""))</f>
        <v>4</v>
      </c>
      <c r="E5" s="8">
        <f>IF('Portfolio Input'!C5="","",IFERROR(VLOOKUP('Portfolio Input'!C5,'Sector Analysis'!$A$4:$O$15,5,FALSE()),""))</f>
        <v>3</v>
      </c>
      <c r="F5" s="8">
        <f>IF('Portfolio Input'!C5="","",IFERROR(VLOOKUP('Portfolio Input'!C5,'Sector Analysis'!$A$4:$O$15,6,FALSE()),""))</f>
        <v>2</v>
      </c>
      <c r="G5" s="6">
        <f t="shared" ref="G5:G36" si="0">IF(A5="","",B5*0.25+C5*0.2+D5*0.25+E5*0.15+F5*0.15)</f>
        <v>3.55</v>
      </c>
      <c r="H5" s="8">
        <f>IF('Portfolio Input'!C5="","",IFERROR(VLOOKUP('Portfolio Input'!C5,'Sector Analysis'!$A$4:$O$15,8,FALSE()),""))</f>
        <v>3</v>
      </c>
      <c r="I5" s="8">
        <f>IF('Portfolio Input'!C5="","",IFERROR(VLOOKUP('Portfolio Input'!C5,'Sector Analysis'!$A$4:$O$15,9,FALSE()),""))</f>
        <v>2</v>
      </c>
      <c r="J5" s="8">
        <f>IF('Portfolio Input'!C5="","",IFERROR(VLOOKUP('Portfolio Input'!C5,'Sector Analysis'!$A$4:$O$15,10,FALSE()),""))</f>
        <v>3</v>
      </c>
      <c r="K5" s="8">
        <f>IF('Portfolio Input'!C5="","",IFERROR(VLOOKUP('Portfolio Input'!C5,'Sector Analysis'!$A$4:$O$15,11,FALSE()),""))</f>
        <v>4</v>
      </c>
      <c r="L5" s="8">
        <f>IF('Portfolio Input'!C5="","",IFERROR(VLOOKUP('Portfolio Input'!C5,'Sector Analysis'!$A$4:$O$15,12,FALSE()),""))</f>
        <v>3</v>
      </c>
      <c r="M5" s="6">
        <f t="shared" ref="M5:M36" si="1">IF(A5="","",H5*0.25+I5*0.25+J5*0.15+K5*0.2+L5*0.15)</f>
        <v>2.95</v>
      </c>
      <c r="N5" s="6">
        <f t="shared" ref="N5:N36" si="2">IF(A5="","",G5-M5)</f>
        <v>0.59999999999999964</v>
      </c>
      <c r="O5" s="6" t="str">
        <f t="shared" ref="O5:O36" si="3">IF(A5="","",IF(N5&lt;=-2,"CRITICAL",IF(N5&lt;=-0.5,"HIGH",IF(N5&lt;=0.5,"MEDIUM",IF(N5&lt;=1.5,"LOW-MEDIUM","LOW")))))</f>
        <v>LOW-MEDIUM</v>
      </c>
      <c r="P5" s="6">
        <f t="shared" ref="P5:P36" si="4">IF(A5="","",IF(G5&gt;=4,22,IF(G5&gt;=3.5,18,IF(G5&gt;=3,14,IF(G5&gt;=2.5,10,IF(G5&gt;=2,7,4))))))</f>
        <v>18</v>
      </c>
      <c r="Q5" s="6">
        <f t="shared" ref="Q5:Q36" si="5">IF(A5="","",MAX(2,ROUND(P5*(1-MAX(0,(M5-1.5)*0.15)),0)))</f>
        <v>14</v>
      </c>
      <c r="R5" s="6">
        <f t="shared" ref="R5:R36" si="6">IF(A5="","",MIN(400,IF(M5&gt;=4,300,IF(M5&gt;=3.5,225,IF(M5&gt;=3,150,IF(M5&gt;=2.5,100,IF(M5&gt;=2,50,0)))))))</f>
        <v>100</v>
      </c>
      <c r="S5" s="6">
        <f>IF(A5="","",IF('Portfolio Input'!U5&lt;=0.02,30,MIN(50,MAX(5,(1/('Portfolio Input'!U5-0.02))*(1-((1.02)/(1+'Portfolio Input'!U5))^P5)+((1.02)/(1+'Portfolio Input'!U5))^P5*(1/('Portfolio Input'!U5-0.02))))))</f>
        <v>12.422962702594011</v>
      </c>
      <c r="T5" s="6">
        <f>IF(A5="","",IF(('Portfolio Input'!U5+R5/10000)&lt;=0.02,30,MIN(50,MAX(5,(1/(('Portfolio Input'!U5+R5/10000)-0.02))*(1-((1.02)/(1+('Portfolio Input'!U5+R5/10000)))^Q5)+((1.02)/(1+('Portfolio Input'!U5+R5/10000)))^Q5*(1/(('Portfolio Input'!U5+R5/10000)-0.02))))))</f>
        <v>11.050200425208478</v>
      </c>
      <c r="U5" s="6">
        <f t="shared" ref="U5:U36" si="7">IF(A5="","",IF(S5&gt;0,(S5-T5)/S5*100,0))</f>
        <v>11.05020042520847</v>
      </c>
    </row>
    <row r="6" spans="1:21" ht="15" customHeight="1" x14ac:dyDescent="0.25">
      <c r="A6" s="7" t="str">
        <f>'Portfolio Input'!A6</f>
        <v>MSFT</v>
      </c>
      <c r="B6" s="8">
        <f>IF('Portfolio Input'!C6="","",IFERROR(VLOOKUP('Portfolio Input'!C6,'Sector Analysis'!$A$4:$O$15,2,FALSE()),""))</f>
        <v>4</v>
      </c>
      <c r="C6" s="8">
        <f>IF('Portfolio Input'!C6="","",IFERROR(VLOOKUP('Portfolio Input'!C6,'Sector Analysis'!$A$4:$O$15,3,FALSE()),""))</f>
        <v>4</v>
      </c>
      <c r="D6" s="8">
        <f>IF('Portfolio Input'!C6="","",IFERROR(VLOOKUP('Portfolio Input'!C6,'Sector Analysis'!$A$4:$O$15,4,FALSE()),""))</f>
        <v>4</v>
      </c>
      <c r="E6" s="8">
        <f>IF('Portfolio Input'!C6="","",IFERROR(VLOOKUP('Portfolio Input'!C6,'Sector Analysis'!$A$4:$O$15,5,FALSE()),""))</f>
        <v>3</v>
      </c>
      <c r="F6" s="8">
        <f>IF('Portfolio Input'!C6="","",IFERROR(VLOOKUP('Portfolio Input'!C6,'Sector Analysis'!$A$4:$O$15,6,FALSE()),""))</f>
        <v>2</v>
      </c>
      <c r="G6" s="6">
        <f t="shared" si="0"/>
        <v>3.55</v>
      </c>
      <c r="H6" s="8">
        <f>IF('Portfolio Input'!C6="","",IFERROR(VLOOKUP('Portfolio Input'!C6,'Sector Analysis'!$A$4:$O$15,8,FALSE()),""))</f>
        <v>3</v>
      </c>
      <c r="I6" s="8">
        <f>IF('Portfolio Input'!C6="","",IFERROR(VLOOKUP('Portfolio Input'!C6,'Sector Analysis'!$A$4:$O$15,9,FALSE()),""))</f>
        <v>2</v>
      </c>
      <c r="J6" s="8">
        <f>IF('Portfolio Input'!C6="","",IFERROR(VLOOKUP('Portfolio Input'!C6,'Sector Analysis'!$A$4:$O$15,10,FALSE()),""))</f>
        <v>3</v>
      </c>
      <c r="K6" s="8">
        <f>IF('Portfolio Input'!C6="","",IFERROR(VLOOKUP('Portfolio Input'!C6,'Sector Analysis'!$A$4:$O$15,11,FALSE()),""))</f>
        <v>4</v>
      </c>
      <c r="L6" s="8">
        <f>IF('Portfolio Input'!C6="","",IFERROR(VLOOKUP('Portfolio Input'!C6,'Sector Analysis'!$A$4:$O$15,12,FALSE()),""))</f>
        <v>3</v>
      </c>
      <c r="M6" s="6">
        <f t="shared" si="1"/>
        <v>2.95</v>
      </c>
      <c r="N6" s="6">
        <f t="shared" si="2"/>
        <v>0.59999999999999964</v>
      </c>
      <c r="O6" s="6" t="str">
        <f t="shared" si="3"/>
        <v>LOW-MEDIUM</v>
      </c>
      <c r="P6" s="6">
        <f t="shared" si="4"/>
        <v>18</v>
      </c>
      <c r="Q6" s="6">
        <f t="shared" si="5"/>
        <v>14</v>
      </c>
      <c r="R6" s="6">
        <f t="shared" si="6"/>
        <v>100</v>
      </c>
      <c r="S6" s="6">
        <f>IF(A6="","",IF('Portfolio Input'!U6&lt;=0.02,30,MIN(50,MAX(5,(1/('Portfolio Input'!U6-0.02))*(1-((1.02)/(1+'Portfolio Input'!U6))^P6)+((1.02)/(1+'Portfolio Input'!U6))^P6*(1/('Portfolio Input'!U6-0.02))))))</f>
        <v>13.12865140678165</v>
      </c>
      <c r="T6" s="6">
        <f>IF(A6="","",IF(('Portfolio Input'!U6+R6/10000)&lt;=0.02,30,MIN(50,MAX(5,(1/(('Portfolio Input'!U6+R6/10000)-0.02))*(1-((1.02)/(1+('Portfolio Input'!U6+R6/10000)))^Q6)+((1.02)/(1+('Portfolio Input'!U6+R6/10000)))^Q6*(1/(('Portfolio Input'!U6+R6/10000)-0.02))))))</f>
        <v>11.605063123730154</v>
      </c>
      <c r="U6" s="6">
        <f t="shared" si="7"/>
        <v>11.605063123730138</v>
      </c>
    </row>
    <row r="7" spans="1:21" ht="15" customHeight="1" x14ac:dyDescent="0.25">
      <c r="A7" s="7" t="str">
        <f>'Portfolio Input'!A7</f>
        <v>GOOGL</v>
      </c>
      <c r="B7" s="8">
        <f>IF('Portfolio Input'!C7="","",IFERROR(VLOOKUP('Portfolio Input'!C7,'Sector Analysis'!$A$4:$O$15,2,FALSE()),""))</f>
        <v>3</v>
      </c>
      <c r="C7" s="8">
        <f>IF('Portfolio Input'!C7="","",IFERROR(VLOOKUP('Portfolio Input'!C7,'Sector Analysis'!$A$4:$O$15,3,FALSE()),""))</f>
        <v>5</v>
      </c>
      <c r="D7" s="8">
        <f>IF('Portfolio Input'!C7="","",IFERROR(VLOOKUP('Portfolio Input'!C7,'Sector Analysis'!$A$4:$O$15,4,FALSE()),""))</f>
        <v>4</v>
      </c>
      <c r="E7" s="8">
        <f>IF('Portfolio Input'!C7="","",IFERROR(VLOOKUP('Portfolio Input'!C7,'Sector Analysis'!$A$4:$O$15,5,FALSE()),""))</f>
        <v>2</v>
      </c>
      <c r="F7" s="8">
        <f>IF('Portfolio Input'!C7="","",IFERROR(VLOOKUP('Portfolio Input'!C7,'Sector Analysis'!$A$4:$O$15,6,FALSE()),""))</f>
        <v>3</v>
      </c>
      <c r="G7" s="6">
        <f t="shared" si="0"/>
        <v>3.5</v>
      </c>
      <c r="H7" s="8">
        <f>IF('Portfolio Input'!C7="","",IFERROR(VLOOKUP('Portfolio Input'!C7,'Sector Analysis'!$A$4:$O$15,8,FALSE()),""))</f>
        <v>3</v>
      </c>
      <c r="I7" s="8">
        <f>IF('Portfolio Input'!C7="","",IFERROR(VLOOKUP('Portfolio Input'!C7,'Sector Analysis'!$A$4:$O$15,9,FALSE()),""))</f>
        <v>3</v>
      </c>
      <c r="J7" s="8">
        <f>IF('Portfolio Input'!C7="","",IFERROR(VLOOKUP('Portfolio Input'!C7,'Sector Analysis'!$A$4:$O$15,10,FALSE()),""))</f>
        <v>4</v>
      </c>
      <c r="K7" s="8">
        <f>IF('Portfolio Input'!C7="","",IFERROR(VLOOKUP('Portfolio Input'!C7,'Sector Analysis'!$A$4:$O$15,11,FALSE()),""))</f>
        <v>3</v>
      </c>
      <c r="L7" s="8">
        <f>IF('Portfolio Input'!C7="","",IFERROR(VLOOKUP('Portfolio Input'!C7,'Sector Analysis'!$A$4:$O$15,12,FALSE()),""))</f>
        <v>4</v>
      </c>
      <c r="M7" s="6">
        <f t="shared" si="1"/>
        <v>3.3000000000000003</v>
      </c>
      <c r="N7" s="6">
        <f t="shared" si="2"/>
        <v>0.19999999999999973</v>
      </c>
      <c r="O7" s="6" t="str">
        <f t="shared" si="3"/>
        <v>MEDIUM</v>
      </c>
      <c r="P7" s="6">
        <f t="shared" si="4"/>
        <v>18</v>
      </c>
      <c r="Q7" s="6">
        <f t="shared" si="5"/>
        <v>13</v>
      </c>
      <c r="R7" s="6">
        <f t="shared" si="6"/>
        <v>150</v>
      </c>
      <c r="S7" s="6">
        <f>IF(A7="","",IF('Portfolio Input'!U7&lt;=0.02,30,MIN(50,MAX(5,(1/('Portfolio Input'!U7-0.02))*(1-((1.02)/(1+'Portfolio Input'!U7))^P7)+((1.02)/(1+'Portfolio Input'!U7))^P7*(1/('Portfolio Input'!U7-0.02))))))</f>
        <v>12.777078565543697</v>
      </c>
      <c r="T7" s="6">
        <f>IF(A7="","",IF(('Portfolio Input'!U7+R7/10000)&lt;=0.02,30,MIN(50,MAX(5,(1/(('Portfolio Input'!U7+R7/10000)-0.02))*(1-((1.02)/(1+('Portfolio Input'!U7+R7/10000)))^Q7)+((1.02)/(1+('Portfolio Input'!U7+R7/10000)))^Q7*(1/(('Portfolio Input'!U7+R7/10000)-0.02))))))</f>
        <v>10.722118339374937</v>
      </c>
      <c r="U7" s="6">
        <f t="shared" si="7"/>
        <v>16.083177509062423</v>
      </c>
    </row>
    <row r="8" spans="1:21" ht="15" customHeight="1" x14ac:dyDescent="0.25">
      <c r="A8" s="7" t="str">
        <f>'Portfolio Input'!A8</f>
        <v>NVDA</v>
      </c>
      <c r="B8" s="8">
        <f>IF('Portfolio Input'!C8="","",IFERROR(VLOOKUP('Portfolio Input'!C8,'Sector Analysis'!$A$4:$O$15,2,FALSE()),""))</f>
        <v>4</v>
      </c>
      <c r="C8" s="8">
        <f>IF('Portfolio Input'!C8="","",IFERROR(VLOOKUP('Portfolio Input'!C8,'Sector Analysis'!$A$4:$O$15,3,FALSE()),""))</f>
        <v>4</v>
      </c>
      <c r="D8" s="8">
        <f>IF('Portfolio Input'!C8="","",IFERROR(VLOOKUP('Portfolio Input'!C8,'Sector Analysis'!$A$4:$O$15,4,FALSE()),""))</f>
        <v>4</v>
      </c>
      <c r="E8" s="8">
        <f>IF('Portfolio Input'!C8="","",IFERROR(VLOOKUP('Portfolio Input'!C8,'Sector Analysis'!$A$4:$O$15,5,FALSE()),""))</f>
        <v>3</v>
      </c>
      <c r="F8" s="8">
        <f>IF('Portfolio Input'!C8="","",IFERROR(VLOOKUP('Portfolio Input'!C8,'Sector Analysis'!$A$4:$O$15,6,FALSE()),""))</f>
        <v>2</v>
      </c>
      <c r="G8" s="6">
        <f t="shared" si="0"/>
        <v>3.55</v>
      </c>
      <c r="H8" s="8">
        <f>IF('Portfolio Input'!C8="","",IFERROR(VLOOKUP('Portfolio Input'!C8,'Sector Analysis'!$A$4:$O$15,8,FALSE()),""))</f>
        <v>3</v>
      </c>
      <c r="I8" s="8">
        <f>IF('Portfolio Input'!C8="","",IFERROR(VLOOKUP('Portfolio Input'!C8,'Sector Analysis'!$A$4:$O$15,9,FALSE()),""))</f>
        <v>2</v>
      </c>
      <c r="J8" s="8">
        <f>IF('Portfolio Input'!C8="","",IFERROR(VLOOKUP('Portfolio Input'!C8,'Sector Analysis'!$A$4:$O$15,10,FALSE()),""))</f>
        <v>3</v>
      </c>
      <c r="K8" s="8">
        <f>IF('Portfolio Input'!C8="","",IFERROR(VLOOKUP('Portfolio Input'!C8,'Sector Analysis'!$A$4:$O$15,11,FALSE()),""))</f>
        <v>4</v>
      </c>
      <c r="L8" s="8">
        <f>IF('Portfolio Input'!C8="","",IFERROR(VLOOKUP('Portfolio Input'!C8,'Sector Analysis'!$A$4:$O$15,12,FALSE()),""))</f>
        <v>3</v>
      </c>
      <c r="M8" s="6">
        <f t="shared" si="1"/>
        <v>2.95</v>
      </c>
      <c r="N8" s="6">
        <f t="shared" si="2"/>
        <v>0.59999999999999964</v>
      </c>
      <c r="O8" s="6" t="str">
        <f t="shared" si="3"/>
        <v>LOW-MEDIUM</v>
      </c>
      <c r="P8" s="6">
        <f t="shared" si="4"/>
        <v>18</v>
      </c>
      <c r="Q8" s="6">
        <f t="shared" si="5"/>
        <v>14</v>
      </c>
      <c r="R8" s="6">
        <f t="shared" si="6"/>
        <v>100</v>
      </c>
      <c r="S8" s="6">
        <f>IF(A8="","",IF('Portfolio Input'!U8&lt;=0.02,30,MIN(50,MAX(5,(1/('Portfolio Input'!U8-0.02))*(1-((1.02)/(1+'Portfolio Input'!U8))^P8)+((1.02)/(1+'Portfolio Input'!U8))^P8*(1/('Portfolio Input'!U8-0.02))))))</f>
        <v>7.2339066446633682</v>
      </c>
      <c r="T8" s="6">
        <f>IF(A8="","",IF(('Portfolio Input'!U8+R8/10000)&lt;=0.02,30,MIN(50,MAX(5,(1/(('Portfolio Input'!U8+R8/10000)-0.02))*(1-((1.02)/(1+('Portfolio Input'!U8+R8/10000)))^Q8)+((1.02)/(1+('Portfolio Input'!U8+R8/10000)))^Q8*(1/(('Portfolio Input'!U8+R8/10000)-0.02))))))</f>
        <v>6.7459135557133711</v>
      </c>
      <c r="U8" s="6">
        <f t="shared" si="7"/>
        <v>6.74591355571338</v>
      </c>
    </row>
    <row r="9" spans="1:21" ht="15" customHeight="1" x14ac:dyDescent="0.25">
      <c r="A9" s="7" t="str">
        <f>'Portfolio Input'!A9</f>
        <v>AMZN</v>
      </c>
      <c r="B9" s="8">
        <f>IF('Portfolio Input'!C9="","",IFERROR(VLOOKUP('Portfolio Input'!C9,'Sector Analysis'!$A$4:$O$15,2,FALSE()),""))</f>
        <v>2</v>
      </c>
      <c r="C9" s="8">
        <f>IF('Portfolio Input'!C9="","",IFERROR(VLOOKUP('Portfolio Input'!C9,'Sector Analysis'!$A$4:$O$15,3,FALSE()),""))</f>
        <v>2</v>
      </c>
      <c r="D9" s="8">
        <f>IF('Portfolio Input'!C9="","",IFERROR(VLOOKUP('Portfolio Input'!C9,'Sector Analysis'!$A$4:$O$15,4,FALSE()),""))</f>
        <v>3</v>
      </c>
      <c r="E9" s="8">
        <f>IF('Portfolio Input'!C9="","",IFERROR(VLOOKUP('Portfolio Input'!C9,'Sector Analysis'!$A$4:$O$15,5,FALSE()),""))</f>
        <v>2</v>
      </c>
      <c r="F9" s="8">
        <f>IF('Portfolio Input'!C9="","",IFERROR(VLOOKUP('Portfolio Input'!C9,'Sector Analysis'!$A$4:$O$15,6,FALSE()),""))</f>
        <v>1</v>
      </c>
      <c r="G9" s="6">
        <f t="shared" si="0"/>
        <v>2.1</v>
      </c>
      <c r="H9" s="8">
        <f>IF('Portfolio Input'!C9="","",IFERROR(VLOOKUP('Portfolio Input'!C9,'Sector Analysis'!$A$4:$O$15,8,FALSE()),""))</f>
        <v>3</v>
      </c>
      <c r="I9" s="8">
        <f>IF('Portfolio Input'!C9="","",IFERROR(VLOOKUP('Portfolio Input'!C9,'Sector Analysis'!$A$4:$O$15,9,FALSE()),""))</f>
        <v>4</v>
      </c>
      <c r="J9" s="8">
        <f>IF('Portfolio Input'!C9="","",IFERROR(VLOOKUP('Portfolio Input'!C9,'Sector Analysis'!$A$4:$O$15,10,FALSE()),""))</f>
        <v>3</v>
      </c>
      <c r="K9" s="8">
        <f>IF('Portfolio Input'!C9="","",IFERROR(VLOOKUP('Portfolio Input'!C9,'Sector Analysis'!$A$4:$O$15,11,FALSE()),""))</f>
        <v>3</v>
      </c>
      <c r="L9" s="8">
        <f>IF('Portfolio Input'!C9="","",IFERROR(VLOOKUP('Portfolio Input'!C9,'Sector Analysis'!$A$4:$O$15,12,FALSE()),""))</f>
        <v>3</v>
      </c>
      <c r="M9" s="6">
        <f t="shared" si="1"/>
        <v>3.25</v>
      </c>
      <c r="N9" s="6">
        <f t="shared" si="2"/>
        <v>-1.1499999999999999</v>
      </c>
      <c r="O9" s="6" t="str">
        <f t="shared" si="3"/>
        <v>HIGH</v>
      </c>
      <c r="P9" s="6">
        <f t="shared" si="4"/>
        <v>7</v>
      </c>
      <c r="Q9" s="6">
        <f t="shared" si="5"/>
        <v>5</v>
      </c>
      <c r="R9" s="6">
        <f t="shared" si="6"/>
        <v>150</v>
      </c>
      <c r="S9" s="6">
        <f>IF(A9="","",IF('Portfolio Input'!U9&lt;=0.02,30,MIN(50,MAX(5,(1/('Portfolio Input'!U9-0.02))*(1-((1.02)/(1+'Portfolio Input'!U9))^P9)+((1.02)/(1+'Portfolio Input'!U9))^P9*(1/('Portfolio Input'!U9-0.02))))))</f>
        <v>10.409476476787017</v>
      </c>
      <c r="T9" s="6">
        <f>IF(A9="","",IF(('Portfolio Input'!U9+R9/10000)&lt;=0.02,30,MIN(50,MAX(5,(1/(('Portfolio Input'!U9+R9/10000)-0.02))*(1-((1.02)/(1+('Portfolio Input'!U9+R9/10000)))^Q9)+((1.02)/(1+('Portfolio Input'!U9+R9/10000)))^Q9*(1/(('Portfolio Input'!U9+R9/10000)-0.02))))))</f>
        <v>9.0036303082896083</v>
      </c>
      <c r="U9" s="6">
        <f t="shared" si="7"/>
        <v>13.505445462434402</v>
      </c>
    </row>
    <row r="10" spans="1:21" ht="15" customHeight="1" x14ac:dyDescent="0.25">
      <c r="A10" s="7" t="str">
        <f>'Portfolio Input'!A10</f>
        <v>META</v>
      </c>
      <c r="B10" s="8">
        <f>IF('Portfolio Input'!C10="","",IFERROR(VLOOKUP('Portfolio Input'!C10,'Sector Analysis'!$A$4:$O$15,2,FALSE()),""))</f>
        <v>3</v>
      </c>
      <c r="C10" s="8">
        <f>IF('Portfolio Input'!C10="","",IFERROR(VLOOKUP('Portfolio Input'!C10,'Sector Analysis'!$A$4:$O$15,3,FALSE()),""))</f>
        <v>5</v>
      </c>
      <c r="D10" s="8">
        <f>IF('Portfolio Input'!C10="","",IFERROR(VLOOKUP('Portfolio Input'!C10,'Sector Analysis'!$A$4:$O$15,4,FALSE()),""))</f>
        <v>4</v>
      </c>
      <c r="E10" s="8">
        <f>IF('Portfolio Input'!C10="","",IFERROR(VLOOKUP('Portfolio Input'!C10,'Sector Analysis'!$A$4:$O$15,5,FALSE()),""))</f>
        <v>2</v>
      </c>
      <c r="F10" s="8">
        <f>IF('Portfolio Input'!C10="","",IFERROR(VLOOKUP('Portfolio Input'!C10,'Sector Analysis'!$A$4:$O$15,6,FALSE()),""))</f>
        <v>3</v>
      </c>
      <c r="G10" s="6">
        <f t="shared" si="0"/>
        <v>3.5</v>
      </c>
      <c r="H10" s="8">
        <f>IF('Portfolio Input'!C10="","",IFERROR(VLOOKUP('Portfolio Input'!C10,'Sector Analysis'!$A$4:$O$15,8,FALSE()),""))</f>
        <v>3</v>
      </c>
      <c r="I10" s="8">
        <f>IF('Portfolio Input'!C10="","",IFERROR(VLOOKUP('Portfolio Input'!C10,'Sector Analysis'!$A$4:$O$15,9,FALSE()),""))</f>
        <v>3</v>
      </c>
      <c r="J10" s="8">
        <f>IF('Portfolio Input'!C10="","",IFERROR(VLOOKUP('Portfolio Input'!C10,'Sector Analysis'!$A$4:$O$15,10,FALSE()),""))</f>
        <v>4</v>
      </c>
      <c r="K10" s="8">
        <f>IF('Portfolio Input'!C10="","",IFERROR(VLOOKUP('Portfolio Input'!C10,'Sector Analysis'!$A$4:$O$15,11,FALSE()),""))</f>
        <v>3</v>
      </c>
      <c r="L10" s="8">
        <f>IF('Portfolio Input'!C10="","",IFERROR(VLOOKUP('Portfolio Input'!C10,'Sector Analysis'!$A$4:$O$15,12,FALSE()),""))</f>
        <v>4</v>
      </c>
      <c r="M10" s="6">
        <f t="shared" si="1"/>
        <v>3.3000000000000003</v>
      </c>
      <c r="N10" s="6">
        <f t="shared" si="2"/>
        <v>0.19999999999999973</v>
      </c>
      <c r="O10" s="6" t="str">
        <f t="shared" si="3"/>
        <v>MEDIUM</v>
      </c>
      <c r="P10" s="6">
        <f t="shared" si="4"/>
        <v>18</v>
      </c>
      <c r="Q10" s="6">
        <f t="shared" si="5"/>
        <v>13</v>
      </c>
      <c r="R10" s="6">
        <f t="shared" si="6"/>
        <v>150</v>
      </c>
      <c r="S10" s="6">
        <f>IF(A10="","",IF('Portfolio Input'!U10&lt;=0.02,30,MIN(50,MAX(5,(1/('Portfolio Input'!U10-0.02))*(1-((1.02)/(1+'Portfolio Input'!U10))^P10)+((1.02)/(1+'Portfolio Input'!U10))^P10*(1/('Portfolio Input'!U10-0.02))))))</f>
        <v>11.192863800226394</v>
      </c>
      <c r="T10" s="6">
        <f>IF(A10="","",IF(('Portfolio Input'!U10+R10/10000)&lt;=0.02,30,MIN(50,MAX(5,(1/(('Portfolio Input'!U10+R10/10000)-0.02))*(1-((1.02)/(1+('Portfolio Input'!U10+R10/10000)))^Q10)+((1.02)/(1+('Portfolio Input'!U10+R10/10000)))^Q10*(1/(('Portfolio Input'!U10+R10/10000)-0.02))))))</f>
        <v>9.5838096574751823</v>
      </c>
      <c r="U10" s="6">
        <f t="shared" si="7"/>
        <v>14.375714486212782</v>
      </c>
    </row>
    <row r="11" spans="1:21" ht="15" customHeight="1" x14ac:dyDescent="0.25">
      <c r="A11" s="7" t="str">
        <f>'Portfolio Input'!A11</f>
        <v>V</v>
      </c>
      <c r="B11" s="8">
        <f>IF('Portfolio Input'!C11="","",IFERROR(VLOOKUP('Portfolio Input'!C11,'Sector Analysis'!$A$4:$O$15,2,FALSE()),""))</f>
        <v>3</v>
      </c>
      <c r="C11" s="8">
        <f>IF('Portfolio Input'!C11="","",IFERROR(VLOOKUP('Portfolio Input'!C11,'Sector Analysis'!$A$4:$O$15,3,FALSE()),""))</f>
        <v>2</v>
      </c>
      <c r="D11" s="8">
        <f>IF('Portfolio Input'!C11="","",IFERROR(VLOOKUP('Portfolio Input'!C11,'Sector Analysis'!$A$4:$O$15,4,FALSE()),""))</f>
        <v>3</v>
      </c>
      <c r="E11" s="8">
        <f>IF('Portfolio Input'!C11="","",IFERROR(VLOOKUP('Portfolio Input'!C11,'Sector Analysis'!$A$4:$O$15,5,FALSE()),""))</f>
        <v>3</v>
      </c>
      <c r="F11" s="8">
        <f>IF('Portfolio Input'!C11="","",IFERROR(VLOOKUP('Portfolio Input'!C11,'Sector Analysis'!$A$4:$O$15,6,FALSE()),""))</f>
        <v>3</v>
      </c>
      <c r="G11" s="6">
        <f t="shared" si="0"/>
        <v>2.8</v>
      </c>
      <c r="H11" s="8">
        <f>IF('Portfolio Input'!C11="","",IFERROR(VLOOKUP('Portfolio Input'!C11,'Sector Analysis'!$A$4:$O$15,8,FALSE()),""))</f>
        <v>5</v>
      </c>
      <c r="I11" s="8">
        <f>IF('Portfolio Input'!C11="","",IFERROR(VLOOKUP('Portfolio Input'!C11,'Sector Analysis'!$A$4:$O$15,9,FALSE()),""))</f>
        <v>4</v>
      </c>
      <c r="J11" s="8">
        <f>IF('Portfolio Input'!C11="","",IFERROR(VLOOKUP('Portfolio Input'!C11,'Sector Analysis'!$A$4:$O$15,10,FALSE()),""))</f>
        <v>3</v>
      </c>
      <c r="K11" s="8">
        <f>IF('Portfolio Input'!C11="","",IFERROR(VLOOKUP('Portfolio Input'!C11,'Sector Analysis'!$A$4:$O$15,11,FALSE()),""))</f>
        <v>4</v>
      </c>
      <c r="L11" s="8">
        <f>IF('Portfolio Input'!C11="","",IFERROR(VLOOKUP('Portfolio Input'!C11,'Sector Analysis'!$A$4:$O$15,12,FALSE()),""))</f>
        <v>4</v>
      </c>
      <c r="M11" s="6">
        <f t="shared" si="1"/>
        <v>4.0999999999999996</v>
      </c>
      <c r="N11" s="6">
        <f t="shared" si="2"/>
        <v>-1.2999999999999998</v>
      </c>
      <c r="O11" s="6" t="str">
        <f t="shared" si="3"/>
        <v>HIGH</v>
      </c>
      <c r="P11" s="6">
        <f t="shared" si="4"/>
        <v>10</v>
      </c>
      <c r="Q11" s="6">
        <f t="shared" si="5"/>
        <v>6</v>
      </c>
      <c r="R11" s="6">
        <f t="shared" si="6"/>
        <v>300</v>
      </c>
      <c r="S11" s="6">
        <f>IF(A11="","",IF('Portfolio Input'!U11&lt;=0.02,30,MIN(50,MAX(5,(1/('Portfolio Input'!U11-0.02))*(1-((1.02)/(1+'Portfolio Input'!U11))^P11)+((1.02)/(1+'Portfolio Input'!U11))^P11*(1/('Portfolio Input'!U11-0.02))))))</f>
        <v>15.920202460249195</v>
      </c>
      <c r="T11" s="6">
        <f>IF(A11="","",IF(('Portfolio Input'!U11+R11/10000)&lt;=0.02,30,MIN(50,MAX(5,(1/(('Portfolio Input'!U11+R11/10000)-0.02))*(1-((1.02)/(1+('Portfolio Input'!U11+R11/10000)))^Q11)+((1.02)/(1+('Portfolio Input'!U11+R11/10000)))^Q11*(1/(('Portfolio Input'!U11+R11/10000)-0.02))))))</f>
        <v>10.774321209458911</v>
      </c>
      <c r="U11" s="6">
        <f t="shared" si="7"/>
        <v>32.322963628376726</v>
      </c>
    </row>
    <row r="12" spans="1:21" ht="15" customHeight="1" x14ac:dyDescent="0.25">
      <c r="A12" s="7" t="str">
        <f>'Portfolio Input'!A12</f>
        <v>MA</v>
      </c>
      <c r="B12" s="8">
        <f>IF('Portfolio Input'!C12="","",IFERROR(VLOOKUP('Portfolio Input'!C12,'Sector Analysis'!$A$4:$O$15,2,FALSE()),""))</f>
        <v>3</v>
      </c>
      <c r="C12" s="8">
        <f>IF('Portfolio Input'!C12="","",IFERROR(VLOOKUP('Portfolio Input'!C12,'Sector Analysis'!$A$4:$O$15,3,FALSE()),""))</f>
        <v>2</v>
      </c>
      <c r="D12" s="8">
        <f>IF('Portfolio Input'!C12="","",IFERROR(VLOOKUP('Portfolio Input'!C12,'Sector Analysis'!$A$4:$O$15,4,FALSE()),""))</f>
        <v>3</v>
      </c>
      <c r="E12" s="8">
        <f>IF('Portfolio Input'!C12="","",IFERROR(VLOOKUP('Portfolio Input'!C12,'Sector Analysis'!$A$4:$O$15,5,FALSE()),""))</f>
        <v>3</v>
      </c>
      <c r="F12" s="8">
        <f>IF('Portfolio Input'!C12="","",IFERROR(VLOOKUP('Portfolio Input'!C12,'Sector Analysis'!$A$4:$O$15,6,FALSE()),""))</f>
        <v>3</v>
      </c>
      <c r="G12" s="6">
        <f t="shared" si="0"/>
        <v>2.8</v>
      </c>
      <c r="H12" s="8">
        <f>IF('Portfolio Input'!C12="","",IFERROR(VLOOKUP('Portfolio Input'!C12,'Sector Analysis'!$A$4:$O$15,8,FALSE()),""))</f>
        <v>5</v>
      </c>
      <c r="I12" s="8">
        <f>IF('Portfolio Input'!C12="","",IFERROR(VLOOKUP('Portfolio Input'!C12,'Sector Analysis'!$A$4:$O$15,9,FALSE()),""))</f>
        <v>4</v>
      </c>
      <c r="J12" s="8">
        <f>IF('Portfolio Input'!C12="","",IFERROR(VLOOKUP('Portfolio Input'!C12,'Sector Analysis'!$A$4:$O$15,10,FALSE()),""))</f>
        <v>3</v>
      </c>
      <c r="K12" s="8">
        <f>IF('Portfolio Input'!C12="","",IFERROR(VLOOKUP('Portfolio Input'!C12,'Sector Analysis'!$A$4:$O$15,11,FALSE()),""))</f>
        <v>4</v>
      </c>
      <c r="L12" s="8">
        <f>IF('Portfolio Input'!C12="","",IFERROR(VLOOKUP('Portfolio Input'!C12,'Sector Analysis'!$A$4:$O$15,12,FALSE()),""))</f>
        <v>4</v>
      </c>
      <c r="M12" s="6">
        <f t="shared" si="1"/>
        <v>4.0999999999999996</v>
      </c>
      <c r="N12" s="6">
        <f t="shared" si="2"/>
        <v>-1.2999999999999998</v>
      </c>
      <c r="O12" s="6" t="str">
        <f t="shared" si="3"/>
        <v>HIGH</v>
      </c>
      <c r="P12" s="6">
        <f t="shared" si="4"/>
        <v>10</v>
      </c>
      <c r="Q12" s="6">
        <f t="shared" si="5"/>
        <v>6</v>
      </c>
      <c r="R12" s="6">
        <f t="shared" si="6"/>
        <v>300</v>
      </c>
      <c r="S12" s="6">
        <f>IF(A12="","",IF('Portfolio Input'!U12&lt;=0.02,30,MIN(50,MAX(5,(1/('Portfolio Input'!U12-0.02))*(1-((1.02)/(1+'Portfolio Input'!U12))^P12)+((1.02)/(1+'Portfolio Input'!U12))^P12*(1/('Portfolio Input'!U12-0.02))))))</f>
        <v>15.560357361736056</v>
      </c>
      <c r="T12" s="6">
        <f>IF(A12="","",IF(('Portfolio Input'!U12+R12/10000)&lt;=0.02,30,MIN(50,MAX(5,(1/(('Portfolio Input'!U12+R12/10000)-0.02))*(1-((1.02)/(1+('Portfolio Input'!U12+R12/10000)))^Q12)+((1.02)/(1+('Portfolio Input'!U12+R12/10000)))^Q12*(1/(('Portfolio Input'!U12+R12/10000)-0.02))))))</f>
        <v>10.608292631442538</v>
      </c>
      <c r="U12" s="6">
        <f t="shared" si="7"/>
        <v>31.824877894327621</v>
      </c>
    </row>
    <row r="13" spans="1:21" ht="15" customHeight="1" x14ac:dyDescent="0.25">
      <c r="A13" s="7" t="str">
        <f>'Portfolio Input'!A13</f>
        <v>ACN</v>
      </c>
      <c r="B13" s="8">
        <f>IF('Portfolio Input'!C13="","",IFERROR(VLOOKUP('Portfolio Input'!C13,'Sector Analysis'!$A$4:$O$15,2,FALSE()),""))</f>
        <v>4</v>
      </c>
      <c r="C13" s="8">
        <f>IF('Portfolio Input'!C13="","",IFERROR(VLOOKUP('Portfolio Input'!C13,'Sector Analysis'!$A$4:$O$15,3,FALSE()),""))</f>
        <v>4</v>
      </c>
      <c r="D13" s="8">
        <f>IF('Portfolio Input'!C13="","",IFERROR(VLOOKUP('Portfolio Input'!C13,'Sector Analysis'!$A$4:$O$15,4,FALSE()),""))</f>
        <v>4</v>
      </c>
      <c r="E13" s="8">
        <f>IF('Portfolio Input'!C13="","",IFERROR(VLOOKUP('Portfolio Input'!C13,'Sector Analysis'!$A$4:$O$15,5,FALSE()),""))</f>
        <v>3</v>
      </c>
      <c r="F13" s="8">
        <f>IF('Portfolio Input'!C13="","",IFERROR(VLOOKUP('Portfolio Input'!C13,'Sector Analysis'!$A$4:$O$15,6,FALSE()),""))</f>
        <v>2</v>
      </c>
      <c r="G13" s="6">
        <f t="shared" si="0"/>
        <v>3.55</v>
      </c>
      <c r="H13" s="8">
        <f>IF('Portfolio Input'!C13="","",IFERROR(VLOOKUP('Portfolio Input'!C13,'Sector Analysis'!$A$4:$O$15,8,FALSE()),""))</f>
        <v>3</v>
      </c>
      <c r="I13" s="8">
        <f>IF('Portfolio Input'!C13="","",IFERROR(VLOOKUP('Portfolio Input'!C13,'Sector Analysis'!$A$4:$O$15,9,FALSE()),""))</f>
        <v>2</v>
      </c>
      <c r="J13" s="8">
        <f>IF('Portfolio Input'!C13="","",IFERROR(VLOOKUP('Portfolio Input'!C13,'Sector Analysis'!$A$4:$O$15,10,FALSE()),""))</f>
        <v>3</v>
      </c>
      <c r="K13" s="8">
        <f>IF('Portfolio Input'!C13="","",IFERROR(VLOOKUP('Portfolio Input'!C13,'Sector Analysis'!$A$4:$O$15,11,FALSE()),""))</f>
        <v>4</v>
      </c>
      <c r="L13" s="8">
        <f>IF('Portfolio Input'!C13="","",IFERROR(VLOOKUP('Portfolio Input'!C13,'Sector Analysis'!$A$4:$O$15,12,FALSE()),""))</f>
        <v>3</v>
      </c>
      <c r="M13" s="6">
        <f t="shared" si="1"/>
        <v>2.95</v>
      </c>
      <c r="N13" s="6">
        <f t="shared" si="2"/>
        <v>0.59999999999999964</v>
      </c>
      <c r="O13" s="6" t="str">
        <f t="shared" si="3"/>
        <v>LOW-MEDIUM</v>
      </c>
      <c r="P13" s="6">
        <f t="shared" si="4"/>
        <v>18</v>
      </c>
      <c r="Q13" s="6">
        <f t="shared" si="5"/>
        <v>14</v>
      </c>
      <c r="R13" s="6">
        <f t="shared" si="6"/>
        <v>100</v>
      </c>
      <c r="S13" s="6">
        <f>IF(A13="","",IF('Portfolio Input'!U13&lt;=0.02,30,MIN(50,MAX(5,(1/('Portfolio Input'!U13-0.02))*(1-((1.02)/(1+'Portfolio Input'!U13))^P13)+((1.02)/(1+'Portfolio Input'!U13))^P13*(1/('Portfolio Input'!U13-0.02))))))</f>
        <v>18.141230318643199</v>
      </c>
      <c r="T13" s="6">
        <f>IF(A13="","",IF(('Portfolio Input'!U13+R13/10000)&lt;=0.02,30,MIN(50,MAX(5,(1/(('Portfolio Input'!U13+R13/10000)-0.02))*(1-((1.02)/(1+('Portfolio Input'!U13+R13/10000)))^Q13)+((1.02)/(1+('Portfolio Input'!U13+R13/10000)))^Q13*(1/(('Portfolio Input'!U13+R13/10000)-0.02))))))</f>
        <v>15.355545451586883</v>
      </c>
      <c r="U13" s="6">
        <f t="shared" si="7"/>
        <v>15.355545451586883</v>
      </c>
    </row>
    <row r="14" spans="1:21" ht="15" customHeight="1" x14ac:dyDescent="0.25">
      <c r="A14" s="7" t="str">
        <f>'Portfolio Input'!A14</f>
        <v>CRM</v>
      </c>
      <c r="B14" s="8">
        <f>IF('Portfolio Input'!C14="","",IFERROR(VLOOKUP('Portfolio Input'!C14,'Sector Analysis'!$A$4:$O$15,2,FALSE()),""))</f>
        <v>4</v>
      </c>
      <c r="C14" s="8">
        <f>IF('Portfolio Input'!C14="","",IFERROR(VLOOKUP('Portfolio Input'!C14,'Sector Analysis'!$A$4:$O$15,3,FALSE()),""))</f>
        <v>4</v>
      </c>
      <c r="D14" s="8">
        <f>IF('Portfolio Input'!C14="","",IFERROR(VLOOKUP('Portfolio Input'!C14,'Sector Analysis'!$A$4:$O$15,4,FALSE()),""))</f>
        <v>4</v>
      </c>
      <c r="E14" s="8">
        <f>IF('Portfolio Input'!C14="","",IFERROR(VLOOKUP('Portfolio Input'!C14,'Sector Analysis'!$A$4:$O$15,5,FALSE()),""))</f>
        <v>3</v>
      </c>
      <c r="F14" s="8">
        <f>IF('Portfolio Input'!C14="","",IFERROR(VLOOKUP('Portfolio Input'!C14,'Sector Analysis'!$A$4:$O$15,6,FALSE()),""))</f>
        <v>2</v>
      </c>
      <c r="G14" s="6">
        <f t="shared" si="0"/>
        <v>3.55</v>
      </c>
      <c r="H14" s="8">
        <f>IF('Portfolio Input'!C14="","",IFERROR(VLOOKUP('Portfolio Input'!C14,'Sector Analysis'!$A$4:$O$15,8,FALSE()),""))</f>
        <v>3</v>
      </c>
      <c r="I14" s="8">
        <f>IF('Portfolio Input'!C14="","",IFERROR(VLOOKUP('Portfolio Input'!C14,'Sector Analysis'!$A$4:$O$15,9,FALSE()),""))</f>
        <v>2</v>
      </c>
      <c r="J14" s="8">
        <f>IF('Portfolio Input'!C14="","",IFERROR(VLOOKUP('Portfolio Input'!C14,'Sector Analysis'!$A$4:$O$15,10,FALSE()),""))</f>
        <v>3</v>
      </c>
      <c r="K14" s="8">
        <f>IF('Portfolio Input'!C14="","",IFERROR(VLOOKUP('Portfolio Input'!C14,'Sector Analysis'!$A$4:$O$15,11,FALSE()),""))</f>
        <v>4</v>
      </c>
      <c r="L14" s="8">
        <f>IF('Portfolio Input'!C14="","",IFERROR(VLOOKUP('Portfolio Input'!C14,'Sector Analysis'!$A$4:$O$15,12,FALSE()),""))</f>
        <v>3</v>
      </c>
      <c r="M14" s="6">
        <f t="shared" si="1"/>
        <v>2.95</v>
      </c>
      <c r="N14" s="6">
        <f t="shared" si="2"/>
        <v>0.59999999999999964</v>
      </c>
      <c r="O14" s="6" t="str">
        <f t="shared" si="3"/>
        <v>LOW-MEDIUM</v>
      </c>
      <c r="P14" s="6">
        <f t="shared" si="4"/>
        <v>18</v>
      </c>
      <c r="Q14" s="6">
        <f t="shared" si="5"/>
        <v>14</v>
      </c>
      <c r="R14" s="6">
        <f t="shared" si="6"/>
        <v>100</v>
      </c>
      <c r="S14" s="6">
        <f>IF(A14="","",IF('Portfolio Input'!U14&lt;=0.02,30,MIN(50,MAX(5,(1/('Portfolio Input'!U14-0.02))*(1-((1.02)/(1+'Portfolio Input'!U14))^P14)+((1.02)/(1+'Portfolio Input'!U14))^P14*(1/('Portfolio Input'!U14-0.02))))))</f>
        <v>10.900632148809084</v>
      </c>
      <c r="T14" s="6">
        <f>IF(A14="","",IF(('Portfolio Input'!U14+R14/10000)&lt;=0.02,30,MIN(50,MAX(5,(1/(('Portfolio Input'!U14+R14/10000)-0.02))*(1-((1.02)/(1+('Portfolio Input'!U14+R14/10000)))^Q14)+((1.02)/(1+('Portfolio Input'!U14+R14/10000)))^Q14*(1/(('Portfolio Input'!U14+R14/10000)-0.02))))))</f>
        <v>9.8291884704339267</v>
      </c>
      <c r="U14" s="6">
        <f t="shared" si="7"/>
        <v>9.8291884704339338</v>
      </c>
    </row>
    <row r="15" spans="1:21" ht="15" customHeight="1" x14ac:dyDescent="0.25">
      <c r="A15" s="7" t="str">
        <f>'Portfolio Input'!A15</f>
        <v>ADBE</v>
      </c>
      <c r="B15" s="8">
        <f>IF('Portfolio Input'!C15="","",IFERROR(VLOOKUP('Portfolio Input'!C15,'Sector Analysis'!$A$4:$O$15,2,FALSE()),""))</f>
        <v>4</v>
      </c>
      <c r="C15" s="8">
        <f>IF('Portfolio Input'!C15="","",IFERROR(VLOOKUP('Portfolio Input'!C15,'Sector Analysis'!$A$4:$O$15,3,FALSE()),""))</f>
        <v>4</v>
      </c>
      <c r="D15" s="8">
        <f>IF('Portfolio Input'!C15="","",IFERROR(VLOOKUP('Portfolio Input'!C15,'Sector Analysis'!$A$4:$O$15,4,FALSE()),""))</f>
        <v>4</v>
      </c>
      <c r="E15" s="8">
        <f>IF('Portfolio Input'!C15="","",IFERROR(VLOOKUP('Portfolio Input'!C15,'Sector Analysis'!$A$4:$O$15,5,FALSE()),""))</f>
        <v>3</v>
      </c>
      <c r="F15" s="8">
        <f>IF('Portfolio Input'!C15="","",IFERROR(VLOOKUP('Portfolio Input'!C15,'Sector Analysis'!$A$4:$O$15,6,FALSE()),""))</f>
        <v>2</v>
      </c>
      <c r="G15" s="6">
        <f t="shared" si="0"/>
        <v>3.55</v>
      </c>
      <c r="H15" s="8">
        <f>IF('Portfolio Input'!C15="","",IFERROR(VLOOKUP('Portfolio Input'!C15,'Sector Analysis'!$A$4:$O$15,8,FALSE()),""))</f>
        <v>3</v>
      </c>
      <c r="I15" s="8">
        <f>IF('Portfolio Input'!C15="","",IFERROR(VLOOKUP('Portfolio Input'!C15,'Sector Analysis'!$A$4:$O$15,9,FALSE()),""))</f>
        <v>2</v>
      </c>
      <c r="J15" s="8">
        <f>IF('Portfolio Input'!C15="","",IFERROR(VLOOKUP('Portfolio Input'!C15,'Sector Analysis'!$A$4:$O$15,10,FALSE()),""))</f>
        <v>3</v>
      </c>
      <c r="K15" s="8">
        <f>IF('Portfolio Input'!C15="","",IFERROR(VLOOKUP('Portfolio Input'!C15,'Sector Analysis'!$A$4:$O$15,11,FALSE()),""))</f>
        <v>4</v>
      </c>
      <c r="L15" s="8">
        <f>IF('Portfolio Input'!C15="","",IFERROR(VLOOKUP('Portfolio Input'!C15,'Sector Analysis'!$A$4:$O$15,12,FALSE()),""))</f>
        <v>3</v>
      </c>
      <c r="M15" s="6">
        <f t="shared" si="1"/>
        <v>2.95</v>
      </c>
      <c r="N15" s="6">
        <f t="shared" si="2"/>
        <v>0.59999999999999964</v>
      </c>
      <c r="O15" s="6" t="str">
        <f t="shared" si="3"/>
        <v>LOW-MEDIUM</v>
      </c>
      <c r="P15" s="6">
        <f t="shared" si="4"/>
        <v>18</v>
      </c>
      <c r="Q15" s="6">
        <f t="shared" si="5"/>
        <v>14</v>
      </c>
      <c r="R15" s="6">
        <f t="shared" si="6"/>
        <v>100</v>
      </c>
      <c r="S15" s="6">
        <f>IF(A15="","",IF('Portfolio Input'!U15&lt;=0.02,30,MIN(50,MAX(5,(1/('Portfolio Input'!U15-0.02))*(1-((1.02)/(1+'Portfolio Input'!U15))^P15)+((1.02)/(1+'Portfolio Input'!U15))^P15*(1/('Portfolio Input'!U15-0.02))))))</f>
        <v>13.26408937270585</v>
      </c>
      <c r="T15" s="6">
        <f>IF(A15="","",IF(('Portfolio Input'!U15+R15/10000)&lt;=0.02,30,MIN(50,MAX(5,(1/(('Portfolio Input'!U15+R15/10000)-0.02))*(1-((1.02)/(1+('Portfolio Input'!U15+R15/10000)))^Q15)+((1.02)/(1+('Portfolio Input'!U15+R15/10000)))^Q15*(1/(('Portfolio Input'!U15+R15/10000)-0.02))))))</f>
        <v>11.71076326677483</v>
      </c>
      <c r="U15" s="6">
        <f t="shared" si="7"/>
        <v>11.71076326677483</v>
      </c>
    </row>
    <row r="16" spans="1:21" ht="15" customHeight="1" x14ac:dyDescent="0.25">
      <c r="A16" s="7" t="str">
        <f>'Portfolio Input'!A16</f>
        <v>NOW</v>
      </c>
      <c r="B16" s="8">
        <f>IF('Portfolio Input'!C16="","",IFERROR(VLOOKUP('Portfolio Input'!C16,'Sector Analysis'!$A$4:$O$15,2,FALSE()),""))</f>
        <v>4</v>
      </c>
      <c r="C16" s="8">
        <f>IF('Portfolio Input'!C16="","",IFERROR(VLOOKUP('Portfolio Input'!C16,'Sector Analysis'!$A$4:$O$15,3,FALSE()),""))</f>
        <v>4</v>
      </c>
      <c r="D16" s="8">
        <f>IF('Portfolio Input'!C16="","",IFERROR(VLOOKUP('Portfolio Input'!C16,'Sector Analysis'!$A$4:$O$15,4,FALSE()),""))</f>
        <v>4</v>
      </c>
      <c r="E16" s="8">
        <f>IF('Portfolio Input'!C16="","",IFERROR(VLOOKUP('Portfolio Input'!C16,'Sector Analysis'!$A$4:$O$15,5,FALSE()),""))</f>
        <v>3</v>
      </c>
      <c r="F16" s="8">
        <f>IF('Portfolio Input'!C16="","",IFERROR(VLOOKUP('Portfolio Input'!C16,'Sector Analysis'!$A$4:$O$15,6,FALSE()),""))</f>
        <v>2</v>
      </c>
      <c r="G16" s="6">
        <f t="shared" si="0"/>
        <v>3.55</v>
      </c>
      <c r="H16" s="8">
        <f>IF('Portfolio Input'!C16="","",IFERROR(VLOOKUP('Portfolio Input'!C16,'Sector Analysis'!$A$4:$O$15,8,FALSE()),""))</f>
        <v>3</v>
      </c>
      <c r="I16" s="8">
        <f>IF('Portfolio Input'!C16="","",IFERROR(VLOOKUP('Portfolio Input'!C16,'Sector Analysis'!$A$4:$O$15,9,FALSE()),""))</f>
        <v>2</v>
      </c>
      <c r="J16" s="8">
        <f>IF('Portfolio Input'!C16="","",IFERROR(VLOOKUP('Portfolio Input'!C16,'Sector Analysis'!$A$4:$O$15,10,FALSE()),""))</f>
        <v>3</v>
      </c>
      <c r="K16" s="8">
        <f>IF('Portfolio Input'!C16="","",IFERROR(VLOOKUP('Portfolio Input'!C16,'Sector Analysis'!$A$4:$O$15,11,FALSE()),""))</f>
        <v>4</v>
      </c>
      <c r="L16" s="8">
        <f>IF('Portfolio Input'!C16="","",IFERROR(VLOOKUP('Portfolio Input'!C16,'Sector Analysis'!$A$4:$O$15,12,FALSE()),""))</f>
        <v>3</v>
      </c>
      <c r="M16" s="6">
        <f t="shared" si="1"/>
        <v>2.95</v>
      </c>
      <c r="N16" s="6">
        <f t="shared" si="2"/>
        <v>0.59999999999999964</v>
      </c>
      <c r="O16" s="6" t="str">
        <f t="shared" si="3"/>
        <v>LOW-MEDIUM</v>
      </c>
      <c r="P16" s="6">
        <f t="shared" si="4"/>
        <v>18</v>
      </c>
      <c r="Q16" s="6">
        <f t="shared" si="5"/>
        <v>14</v>
      </c>
      <c r="R16" s="6">
        <f t="shared" si="6"/>
        <v>100</v>
      </c>
      <c r="S16" s="6">
        <f>IF(A16="","",IF('Portfolio Input'!U16&lt;=0.02,30,MIN(50,MAX(5,(1/('Portfolio Input'!U16-0.02))*(1-((1.02)/(1+'Portfolio Input'!U16))^P16)+((1.02)/(1+'Portfolio Input'!U16))^P16*(1/('Portfolio Input'!U16-0.02))))))</f>
        <v>10.476765014660097</v>
      </c>
      <c r="T16" s="6">
        <f>IF(A16="","",IF(('Portfolio Input'!U16+R16/10000)&lt;=0.02,30,MIN(50,MAX(5,(1/(('Portfolio Input'!U16+R16/10000)-0.02))*(1-((1.02)/(1+('Portfolio Input'!U16+R16/10000)))^Q16)+((1.02)/(1+('Portfolio Input'!U16+R16/10000)))^Q16*(1/(('Portfolio Input'!U16+R16/10000)-0.02))))))</f>
        <v>9.483229358924337</v>
      </c>
      <c r="U16" s="6">
        <f t="shared" si="7"/>
        <v>9.4832293589243424</v>
      </c>
    </row>
    <row r="17" spans="1:21" ht="15" customHeight="1" x14ac:dyDescent="0.25">
      <c r="A17" s="7" t="str">
        <f>'Portfolio Input'!A17</f>
        <v>WU</v>
      </c>
      <c r="B17" s="8">
        <f>IF('Portfolio Input'!C17="","",IFERROR(VLOOKUP('Portfolio Input'!C17,'Sector Analysis'!$A$4:$O$15,2,FALSE()),""))</f>
        <v>3</v>
      </c>
      <c r="C17" s="8">
        <f>IF('Portfolio Input'!C17="","",IFERROR(VLOOKUP('Portfolio Input'!C17,'Sector Analysis'!$A$4:$O$15,3,FALSE()),""))</f>
        <v>2</v>
      </c>
      <c r="D17" s="8">
        <f>IF('Portfolio Input'!C17="","",IFERROR(VLOOKUP('Portfolio Input'!C17,'Sector Analysis'!$A$4:$O$15,4,FALSE()),""))</f>
        <v>3</v>
      </c>
      <c r="E17" s="8">
        <f>IF('Portfolio Input'!C17="","",IFERROR(VLOOKUP('Portfolio Input'!C17,'Sector Analysis'!$A$4:$O$15,5,FALSE()),""))</f>
        <v>3</v>
      </c>
      <c r="F17" s="8">
        <f>IF('Portfolio Input'!C17="","",IFERROR(VLOOKUP('Portfolio Input'!C17,'Sector Analysis'!$A$4:$O$15,6,FALSE()),""))</f>
        <v>3</v>
      </c>
      <c r="G17" s="6">
        <f t="shared" si="0"/>
        <v>2.8</v>
      </c>
      <c r="H17" s="8">
        <f>IF('Portfolio Input'!C17="","",IFERROR(VLOOKUP('Portfolio Input'!C17,'Sector Analysis'!$A$4:$O$15,8,FALSE()),""))</f>
        <v>5</v>
      </c>
      <c r="I17" s="8">
        <f>IF('Portfolio Input'!C17="","",IFERROR(VLOOKUP('Portfolio Input'!C17,'Sector Analysis'!$A$4:$O$15,9,FALSE()),""))</f>
        <v>4</v>
      </c>
      <c r="J17" s="8">
        <f>IF('Portfolio Input'!C17="","",IFERROR(VLOOKUP('Portfolio Input'!C17,'Sector Analysis'!$A$4:$O$15,10,FALSE()),""))</f>
        <v>3</v>
      </c>
      <c r="K17" s="8">
        <f>IF('Portfolio Input'!C17="","",IFERROR(VLOOKUP('Portfolio Input'!C17,'Sector Analysis'!$A$4:$O$15,11,FALSE()),""))</f>
        <v>4</v>
      </c>
      <c r="L17" s="8">
        <f>IF('Portfolio Input'!C17="","",IFERROR(VLOOKUP('Portfolio Input'!C17,'Sector Analysis'!$A$4:$O$15,12,FALSE()),""))</f>
        <v>4</v>
      </c>
      <c r="M17" s="6">
        <f t="shared" si="1"/>
        <v>4.0999999999999996</v>
      </c>
      <c r="N17" s="6">
        <f t="shared" si="2"/>
        <v>-1.2999999999999998</v>
      </c>
      <c r="O17" s="6" t="str">
        <f t="shared" si="3"/>
        <v>HIGH</v>
      </c>
      <c r="P17" s="6">
        <f t="shared" si="4"/>
        <v>10</v>
      </c>
      <c r="Q17" s="6">
        <f t="shared" si="5"/>
        <v>6</v>
      </c>
      <c r="R17" s="6">
        <f t="shared" si="6"/>
        <v>300</v>
      </c>
      <c r="S17" s="6">
        <f>IF(A17="","",IF('Portfolio Input'!U17&lt;=0.02,30,MIN(50,MAX(5,(1/('Portfolio Input'!U17-0.02))*(1-((1.02)/(1+'Portfolio Input'!U17))^P17)+((1.02)/(1+'Portfolio Input'!U17))^P17*(1/('Portfolio Input'!U17-0.02))))))</f>
        <v>21.907639178746969</v>
      </c>
      <c r="T17" s="6">
        <f>IF(A17="","",IF(('Portfolio Input'!U17+R17/10000)&lt;=0.02,30,MIN(50,MAX(5,(1/(('Portfolio Input'!U17+R17/10000)-0.02))*(1-((1.02)/(1+('Portfolio Input'!U17+R17/10000)))^Q17)+((1.02)/(1+('Portfolio Input'!U17+R17/10000)))^Q17*(1/(('Portfolio Input'!U17+R17/10000)-0.02))))))</f>
        <v>13.219438508832749</v>
      </c>
      <c r="U17" s="6">
        <f t="shared" si="7"/>
        <v>39.658315526498242</v>
      </c>
    </row>
    <row r="18" spans="1:21" ht="15" customHeight="1" x14ac:dyDescent="0.25">
      <c r="A18" s="7" t="str">
        <f>'Portfolio Input'!A18</f>
        <v>INFY</v>
      </c>
      <c r="B18" s="8">
        <f>IF('Portfolio Input'!C18="","",IFERROR(VLOOKUP('Portfolio Input'!C18,'Sector Analysis'!$A$4:$O$15,2,FALSE()),""))</f>
        <v>4</v>
      </c>
      <c r="C18" s="8">
        <f>IF('Portfolio Input'!C18="","",IFERROR(VLOOKUP('Portfolio Input'!C18,'Sector Analysis'!$A$4:$O$15,3,FALSE()),""))</f>
        <v>4</v>
      </c>
      <c r="D18" s="8">
        <f>IF('Portfolio Input'!C18="","",IFERROR(VLOOKUP('Portfolio Input'!C18,'Sector Analysis'!$A$4:$O$15,4,FALSE()),""))</f>
        <v>4</v>
      </c>
      <c r="E18" s="8">
        <f>IF('Portfolio Input'!C18="","",IFERROR(VLOOKUP('Portfolio Input'!C18,'Sector Analysis'!$A$4:$O$15,5,FALSE()),""))</f>
        <v>3</v>
      </c>
      <c r="F18" s="8">
        <f>IF('Portfolio Input'!C18="","",IFERROR(VLOOKUP('Portfolio Input'!C18,'Sector Analysis'!$A$4:$O$15,6,FALSE()),""))</f>
        <v>2</v>
      </c>
      <c r="G18" s="6">
        <f t="shared" si="0"/>
        <v>3.55</v>
      </c>
      <c r="H18" s="8">
        <f>IF('Portfolio Input'!C18="","",IFERROR(VLOOKUP('Portfolio Input'!C18,'Sector Analysis'!$A$4:$O$15,8,FALSE()),""))</f>
        <v>3</v>
      </c>
      <c r="I18" s="8">
        <f>IF('Portfolio Input'!C18="","",IFERROR(VLOOKUP('Portfolio Input'!C18,'Sector Analysis'!$A$4:$O$15,9,FALSE()),""))</f>
        <v>2</v>
      </c>
      <c r="J18" s="8">
        <f>IF('Portfolio Input'!C18="","",IFERROR(VLOOKUP('Portfolio Input'!C18,'Sector Analysis'!$A$4:$O$15,10,FALSE()),""))</f>
        <v>3</v>
      </c>
      <c r="K18" s="8">
        <f>IF('Portfolio Input'!C18="","",IFERROR(VLOOKUP('Portfolio Input'!C18,'Sector Analysis'!$A$4:$O$15,11,FALSE()),""))</f>
        <v>4</v>
      </c>
      <c r="L18" s="8">
        <f>IF('Portfolio Input'!C18="","",IFERROR(VLOOKUP('Portfolio Input'!C18,'Sector Analysis'!$A$4:$O$15,12,FALSE()),""))</f>
        <v>3</v>
      </c>
      <c r="M18" s="6">
        <f t="shared" si="1"/>
        <v>2.95</v>
      </c>
      <c r="N18" s="6">
        <f t="shared" si="2"/>
        <v>0.59999999999999964</v>
      </c>
      <c r="O18" s="6" t="str">
        <f t="shared" si="3"/>
        <v>LOW-MEDIUM</v>
      </c>
      <c r="P18" s="6">
        <f t="shared" si="4"/>
        <v>18</v>
      </c>
      <c r="Q18" s="6">
        <f t="shared" si="5"/>
        <v>14</v>
      </c>
      <c r="R18" s="6">
        <f t="shared" si="6"/>
        <v>100</v>
      </c>
      <c r="S18" s="6">
        <f>IF(A18="","",IF('Portfolio Input'!U18&lt;=0.02,30,MIN(50,MAX(5,(1/('Portfolio Input'!U18-0.02))*(1-((1.02)/(1+'Portfolio Input'!U18))^P18)+((1.02)/(1+'Portfolio Input'!U18))^P18*(1/('Portfolio Input'!U18-0.02))))))</f>
        <v>16.601417715491287</v>
      </c>
      <c r="T18" s="6">
        <f>IF(A18="","",IF(('Portfolio Input'!U18+R18/10000)&lt;=0.02,30,MIN(50,MAX(5,(1/(('Portfolio Input'!U18+R18/10000)-0.02))*(1-((1.02)/(1+('Portfolio Input'!U18+R18/10000)))^Q18)+((1.02)/(1+('Portfolio Input'!U18+R18/10000)))^Q18*(1/(('Portfolio Input'!U18+R18/10000)-0.02))))))</f>
        <v>14.237749455155793</v>
      </c>
      <c r="U18" s="6">
        <f t="shared" si="7"/>
        <v>14.237749455155772</v>
      </c>
    </row>
    <row r="19" spans="1:21" ht="15" customHeight="1" x14ac:dyDescent="0.25">
      <c r="A19" s="7" t="str">
        <f>'Portfolio Input'!A19</f>
        <v>UNH</v>
      </c>
      <c r="B19" s="8">
        <f>IF('Portfolio Input'!C19="","",IFERROR(VLOOKUP('Portfolio Input'!C19,'Sector Analysis'!$A$4:$O$15,2,FALSE()),""))</f>
        <v>3</v>
      </c>
      <c r="C19" s="8">
        <f>IF('Portfolio Input'!C19="","",IFERROR(VLOOKUP('Portfolio Input'!C19,'Sector Analysis'!$A$4:$O$15,3,FALSE()),""))</f>
        <v>1</v>
      </c>
      <c r="D19" s="8">
        <f>IF('Portfolio Input'!C19="","",IFERROR(VLOOKUP('Portfolio Input'!C19,'Sector Analysis'!$A$4:$O$15,4,FALSE()),""))</f>
        <v>5</v>
      </c>
      <c r="E19" s="8">
        <f>IF('Portfolio Input'!C19="","",IFERROR(VLOOKUP('Portfolio Input'!C19,'Sector Analysis'!$A$4:$O$15,5,FALSE()),""))</f>
        <v>2</v>
      </c>
      <c r="F19" s="8">
        <f>IF('Portfolio Input'!C19="","",IFERROR(VLOOKUP('Portfolio Input'!C19,'Sector Analysis'!$A$4:$O$15,6,FALSE()),""))</f>
        <v>3</v>
      </c>
      <c r="G19" s="6">
        <f t="shared" si="0"/>
        <v>2.95</v>
      </c>
      <c r="H19" s="8">
        <f>IF('Portfolio Input'!C19="","",IFERROR(VLOOKUP('Portfolio Input'!C19,'Sector Analysis'!$A$4:$O$15,8,FALSE()),""))</f>
        <v>2</v>
      </c>
      <c r="I19" s="8">
        <f>IF('Portfolio Input'!C19="","",IFERROR(VLOOKUP('Portfolio Input'!C19,'Sector Analysis'!$A$4:$O$15,9,FALSE()),""))</f>
        <v>2</v>
      </c>
      <c r="J19" s="8">
        <f>IF('Portfolio Input'!C19="","",IFERROR(VLOOKUP('Portfolio Input'!C19,'Sector Analysis'!$A$4:$O$15,10,FALSE()),""))</f>
        <v>2</v>
      </c>
      <c r="K19" s="8">
        <f>IF('Portfolio Input'!C19="","",IFERROR(VLOOKUP('Portfolio Input'!C19,'Sector Analysis'!$A$4:$O$15,11,FALSE()),""))</f>
        <v>3</v>
      </c>
      <c r="L19" s="8">
        <f>IF('Portfolio Input'!C19="","",IFERROR(VLOOKUP('Portfolio Input'!C19,'Sector Analysis'!$A$4:$O$15,12,FALSE()),""))</f>
        <v>2</v>
      </c>
      <c r="M19" s="6">
        <f t="shared" si="1"/>
        <v>2.2000000000000002</v>
      </c>
      <c r="N19" s="6">
        <f t="shared" si="2"/>
        <v>0.75</v>
      </c>
      <c r="O19" s="6" t="str">
        <f t="shared" si="3"/>
        <v>LOW-MEDIUM</v>
      </c>
      <c r="P19" s="6">
        <f t="shared" si="4"/>
        <v>10</v>
      </c>
      <c r="Q19" s="6">
        <f t="shared" si="5"/>
        <v>9</v>
      </c>
      <c r="R19" s="6">
        <f t="shared" si="6"/>
        <v>50</v>
      </c>
      <c r="S19" s="6">
        <f>IF(A19="","",IF('Portfolio Input'!U19&lt;=0.02,30,MIN(50,MAX(5,(1/('Portfolio Input'!U19-0.02))*(1-((1.02)/(1+'Portfolio Input'!U19))^P19)+((1.02)/(1+'Portfolio Input'!U19))^P19*(1/('Portfolio Input'!U19-0.02))))))</f>
        <v>32.054489434590607</v>
      </c>
      <c r="T19" s="6">
        <f>IF(A19="","",IF(('Portfolio Input'!U19+R19/10000)&lt;=0.02,30,MIN(50,MAX(5,(1/(('Portfolio Input'!U19+R19/10000)-0.02))*(1-((1.02)/(1+('Portfolio Input'!U19+R19/10000)))^Q19)+((1.02)/(1+('Portfolio Input'!U19+R19/10000)))^Q19*(1/(('Portfolio Input'!U19+R19/10000)-0.02))))))</f>
        <v>27.626691914207367</v>
      </c>
      <c r="U19" s="6">
        <f t="shared" si="7"/>
        <v>13.813345957103657</v>
      </c>
    </row>
    <row r="20" spans="1:21" ht="15" customHeight="1" x14ac:dyDescent="0.25">
      <c r="A20" s="7" t="str">
        <f>'Portfolio Input'!A20</f>
        <v>JPM</v>
      </c>
      <c r="B20" s="8">
        <f>IF('Portfolio Input'!C20="","",IFERROR(VLOOKUP('Portfolio Input'!C20,'Sector Analysis'!$A$4:$O$15,2,FALSE()),""))</f>
        <v>3</v>
      </c>
      <c r="C20" s="8">
        <f>IF('Portfolio Input'!C20="","",IFERROR(VLOOKUP('Portfolio Input'!C20,'Sector Analysis'!$A$4:$O$15,3,FALSE()),""))</f>
        <v>2</v>
      </c>
      <c r="D20" s="8">
        <f>IF('Portfolio Input'!C20="","",IFERROR(VLOOKUP('Portfolio Input'!C20,'Sector Analysis'!$A$4:$O$15,4,FALSE()),""))</f>
        <v>3</v>
      </c>
      <c r="E20" s="8">
        <f>IF('Portfolio Input'!C20="","",IFERROR(VLOOKUP('Portfolio Input'!C20,'Sector Analysis'!$A$4:$O$15,5,FALSE()),""))</f>
        <v>3</v>
      </c>
      <c r="F20" s="8">
        <f>IF('Portfolio Input'!C20="","",IFERROR(VLOOKUP('Portfolio Input'!C20,'Sector Analysis'!$A$4:$O$15,6,FALSE()),""))</f>
        <v>3</v>
      </c>
      <c r="G20" s="6">
        <f t="shared" si="0"/>
        <v>2.8</v>
      </c>
      <c r="H20" s="8">
        <f>IF('Portfolio Input'!C20="","",IFERROR(VLOOKUP('Portfolio Input'!C20,'Sector Analysis'!$A$4:$O$15,8,FALSE()),""))</f>
        <v>5</v>
      </c>
      <c r="I20" s="8">
        <f>IF('Portfolio Input'!C20="","",IFERROR(VLOOKUP('Portfolio Input'!C20,'Sector Analysis'!$A$4:$O$15,9,FALSE()),""))</f>
        <v>4</v>
      </c>
      <c r="J20" s="8">
        <f>IF('Portfolio Input'!C20="","",IFERROR(VLOOKUP('Portfolio Input'!C20,'Sector Analysis'!$A$4:$O$15,10,FALSE()),""))</f>
        <v>3</v>
      </c>
      <c r="K20" s="8">
        <f>IF('Portfolio Input'!C20="","",IFERROR(VLOOKUP('Portfolio Input'!C20,'Sector Analysis'!$A$4:$O$15,11,FALSE()),""))</f>
        <v>4</v>
      </c>
      <c r="L20" s="8">
        <f>IF('Portfolio Input'!C20="","",IFERROR(VLOOKUP('Portfolio Input'!C20,'Sector Analysis'!$A$4:$O$15,12,FALSE()),""))</f>
        <v>4</v>
      </c>
      <c r="M20" s="6">
        <f t="shared" si="1"/>
        <v>4.0999999999999996</v>
      </c>
      <c r="N20" s="6">
        <f t="shared" si="2"/>
        <v>-1.2999999999999998</v>
      </c>
      <c r="O20" s="6" t="str">
        <f t="shared" si="3"/>
        <v>HIGH</v>
      </c>
      <c r="P20" s="6">
        <f t="shared" si="4"/>
        <v>10</v>
      </c>
      <c r="Q20" s="6">
        <f t="shared" si="5"/>
        <v>6</v>
      </c>
      <c r="R20" s="6">
        <f t="shared" si="6"/>
        <v>300</v>
      </c>
      <c r="S20" s="6">
        <f>IF(A20="","",IF('Portfolio Input'!U20&lt;=0.02,30,MIN(50,MAX(5,(1/('Portfolio Input'!U20-0.02))*(1-((1.02)/(1+'Portfolio Input'!U20))^P20)+((1.02)/(1+'Portfolio Input'!U20))^P20*(1/('Portfolio Input'!U20-0.02))))))</f>
        <v>11.850708363648417</v>
      </c>
      <c r="T20" s="6">
        <f>IF(A20="","",IF(('Portfolio Input'!U20+R20/10000)&lt;=0.02,30,MIN(50,MAX(5,(1/(('Portfolio Input'!U20+R20/10000)-0.02))*(1-((1.02)/(1+('Portfolio Input'!U20+R20/10000)))^Q20)+((1.02)/(1+('Portfolio Input'!U20+R20/10000)))^Q20*(1/(('Portfolio Input'!U20+R20/10000)-0.02))))))</f>
        <v>8.7425470871057804</v>
      </c>
      <c r="U20" s="6">
        <f t="shared" si="7"/>
        <v>26.227641261317338</v>
      </c>
    </row>
    <row r="21" spans="1:21" ht="15" customHeight="1" x14ac:dyDescent="0.25">
      <c r="A21" s="7" t="str">
        <f>'Portfolio Input'!A21</f>
        <v>BLK</v>
      </c>
      <c r="B21" s="8">
        <f>IF('Portfolio Input'!C21="","",IFERROR(VLOOKUP('Portfolio Input'!C21,'Sector Analysis'!$A$4:$O$15,2,FALSE()),""))</f>
        <v>3</v>
      </c>
      <c r="C21" s="8">
        <f>IF('Portfolio Input'!C21="","",IFERROR(VLOOKUP('Portfolio Input'!C21,'Sector Analysis'!$A$4:$O$15,3,FALSE()),""))</f>
        <v>2</v>
      </c>
      <c r="D21" s="8">
        <f>IF('Portfolio Input'!C21="","",IFERROR(VLOOKUP('Portfolio Input'!C21,'Sector Analysis'!$A$4:$O$15,4,FALSE()),""))</f>
        <v>3</v>
      </c>
      <c r="E21" s="8">
        <f>IF('Portfolio Input'!C21="","",IFERROR(VLOOKUP('Portfolio Input'!C21,'Sector Analysis'!$A$4:$O$15,5,FALSE()),""))</f>
        <v>3</v>
      </c>
      <c r="F21" s="8">
        <f>IF('Portfolio Input'!C21="","",IFERROR(VLOOKUP('Portfolio Input'!C21,'Sector Analysis'!$A$4:$O$15,6,FALSE()),""))</f>
        <v>3</v>
      </c>
      <c r="G21" s="6">
        <f t="shared" si="0"/>
        <v>2.8</v>
      </c>
      <c r="H21" s="8">
        <f>IF('Portfolio Input'!C21="","",IFERROR(VLOOKUP('Portfolio Input'!C21,'Sector Analysis'!$A$4:$O$15,8,FALSE()),""))</f>
        <v>5</v>
      </c>
      <c r="I21" s="8">
        <f>IF('Portfolio Input'!C21="","",IFERROR(VLOOKUP('Portfolio Input'!C21,'Sector Analysis'!$A$4:$O$15,9,FALSE()),""))</f>
        <v>4</v>
      </c>
      <c r="J21" s="8">
        <f>IF('Portfolio Input'!C21="","",IFERROR(VLOOKUP('Portfolio Input'!C21,'Sector Analysis'!$A$4:$O$15,10,FALSE()),""))</f>
        <v>3</v>
      </c>
      <c r="K21" s="8">
        <f>IF('Portfolio Input'!C21="","",IFERROR(VLOOKUP('Portfolio Input'!C21,'Sector Analysis'!$A$4:$O$15,11,FALSE()),""))</f>
        <v>4</v>
      </c>
      <c r="L21" s="8">
        <f>IF('Portfolio Input'!C21="","",IFERROR(VLOOKUP('Portfolio Input'!C21,'Sector Analysis'!$A$4:$O$15,12,FALSE()),""))</f>
        <v>4</v>
      </c>
      <c r="M21" s="6">
        <f t="shared" si="1"/>
        <v>4.0999999999999996</v>
      </c>
      <c r="N21" s="6">
        <f t="shared" si="2"/>
        <v>-1.2999999999999998</v>
      </c>
      <c r="O21" s="6" t="str">
        <f t="shared" si="3"/>
        <v>HIGH</v>
      </c>
      <c r="P21" s="6">
        <f t="shared" si="4"/>
        <v>10</v>
      </c>
      <c r="Q21" s="6">
        <f t="shared" si="5"/>
        <v>6</v>
      </c>
      <c r="R21" s="6">
        <f t="shared" si="6"/>
        <v>300</v>
      </c>
      <c r="S21" s="6">
        <f>IF(A21="","",IF('Portfolio Input'!U21&lt;=0.02,30,MIN(50,MAX(5,(1/('Portfolio Input'!U21-0.02))*(1-((1.02)/(1+'Portfolio Input'!U21))^P21)+((1.02)/(1+'Portfolio Input'!U21))^P21*(1/('Portfolio Input'!U21-0.02))))))</f>
        <v>12.818714546030552</v>
      </c>
      <c r="T21" s="6">
        <f>IF(A21="","",IF(('Portfolio Input'!U21+R21/10000)&lt;=0.02,30,MIN(50,MAX(5,(1/(('Portfolio Input'!U21+R21/10000)-0.02))*(1-((1.02)/(1+('Portfolio Input'!U21+R21/10000)))^Q21)+((1.02)/(1+('Portfolio Input'!U21+R21/10000)))^Q21*(1/(('Portfolio Input'!U21+R21/10000)-0.02))))))</f>
        <v>9.2583212338610181</v>
      </c>
      <c r="U21" s="6">
        <f t="shared" si="7"/>
        <v>27.774963701583065</v>
      </c>
    </row>
    <row r="22" spans="1:21" ht="15" customHeight="1" x14ac:dyDescent="0.25">
      <c r="A22" s="7" t="str">
        <f>'Portfolio Input'!A22</f>
        <v>LLY</v>
      </c>
      <c r="B22" s="8">
        <f>IF('Portfolio Input'!C22="","",IFERROR(VLOOKUP('Portfolio Input'!C22,'Sector Analysis'!$A$4:$O$15,2,FALSE()),""))</f>
        <v>3</v>
      </c>
      <c r="C22" s="8">
        <f>IF('Portfolio Input'!C22="","",IFERROR(VLOOKUP('Portfolio Input'!C22,'Sector Analysis'!$A$4:$O$15,3,FALSE()),""))</f>
        <v>1</v>
      </c>
      <c r="D22" s="8">
        <f>IF('Portfolio Input'!C22="","",IFERROR(VLOOKUP('Portfolio Input'!C22,'Sector Analysis'!$A$4:$O$15,4,FALSE()),""))</f>
        <v>5</v>
      </c>
      <c r="E22" s="8">
        <f>IF('Portfolio Input'!C22="","",IFERROR(VLOOKUP('Portfolio Input'!C22,'Sector Analysis'!$A$4:$O$15,5,FALSE()),""))</f>
        <v>2</v>
      </c>
      <c r="F22" s="8">
        <f>IF('Portfolio Input'!C22="","",IFERROR(VLOOKUP('Portfolio Input'!C22,'Sector Analysis'!$A$4:$O$15,6,FALSE()),""))</f>
        <v>3</v>
      </c>
      <c r="G22" s="6">
        <f t="shared" si="0"/>
        <v>2.95</v>
      </c>
      <c r="H22" s="8">
        <f>IF('Portfolio Input'!C22="","",IFERROR(VLOOKUP('Portfolio Input'!C22,'Sector Analysis'!$A$4:$O$15,8,FALSE()),""))</f>
        <v>2</v>
      </c>
      <c r="I22" s="8">
        <f>IF('Portfolio Input'!C22="","",IFERROR(VLOOKUP('Portfolio Input'!C22,'Sector Analysis'!$A$4:$O$15,9,FALSE()),""))</f>
        <v>2</v>
      </c>
      <c r="J22" s="8">
        <f>IF('Portfolio Input'!C22="","",IFERROR(VLOOKUP('Portfolio Input'!C22,'Sector Analysis'!$A$4:$O$15,10,FALSE()),""))</f>
        <v>2</v>
      </c>
      <c r="K22" s="8">
        <f>IF('Portfolio Input'!C22="","",IFERROR(VLOOKUP('Portfolio Input'!C22,'Sector Analysis'!$A$4:$O$15,11,FALSE()),""))</f>
        <v>3</v>
      </c>
      <c r="L22" s="8">
        <f>IF('Portfolio Input'!C22="","",IFERROR(VLOOKUP('Portfolio Input'!C22,'Sector Analysis'!$A$4:$O$15,12,FALSE()),""))</f>
        <v>2</v>
      </c>
      <c r="M22" s="6">
        <f t="shared" si="1"/>
        <v>2.2000000000000002</v>
      </c>
      <c r="N22" s="6">
        <f t="shared" si="2"/>
        <v>0.75</v>
      </c>
      <c r="O22" s="6" t="str">
        <f t="shared" si="3"/>
        <v>LOW-MEDIUM</v>
      </c>
      <c r="P22" s="6">
        <f t="shared" si="4"/>
        <v>10</v>
      </c>
      <c r="Q22" s="6">
        <f t="shared" si="5"/>
        <v>9</v>
      </c>
      <c r="R22" s="6">
        <f t="shared" si="6"/>
        <v>50</v>
      </c>
      <c r="S22" s="6">
        <f>IF(A22="","",IF('Portfolio Input'!U22&lt;=0.02,30,MIN(50,MAX(5,(1/('Portfolio Input'!U22-0.02))*(1-((1.02)/(1+'Portfolio Input'!U22))^P22)+((1.02)/(1+'Portfolio Input'!U22))^P22*(1/('Portfolio Input'!U22-0.02))))))</f>
        <v>17.036832413870894</v>
      </c>
      <c r="T22" s="6">
        <f>IF(A22="","",IF(('Portfolio Input'!U22+R22/10000)&lt;=0.02,30,MIN(50,MAX(5,(1/(('Portfolio Input'!U22+R22/10000)-0.02))*(1-((1.02)/(1+('Portfolio Input'!U22+R22/10000)))^Q22)+((1.02)/(1+('Portfolio Input'!U22+R22/10000)))^Q22*(1/(('Portfolio Input'!U22+R22/10000)-0.02))))))</f>
        <v>15.699484943996136</v>
      </c>
      <c r="U22" s="6">
        <f t="shared" si="7"/>
        <v>7.8497424719980682</v>
      </c>
    </row>
    <row r="23" spans="1:21" ht="15" customHeight="1" x14ac:dyDescent="0.25">
      <c r="A23" s="7" t="str">
        <f>'Portfolio Input'!A23</f>
        <v>XOM</v>
      </c>
      <c r="B23" s="8">
        <f>IF('Portfolio Input'!C23="","",IFERROR(VLOOKUP('Portfolio Input'!C23,'Sector Analysis'!$A$4:$O$15,2,FALSE()),""))</f>
        <v>1</v>
      </c>
      <c r="C23" s="8">
        <f>IF('Portfolio Input'!C23="","",IFERROR(VLOOKUP('Portfolio Input'!C23,'Sector Analysis'!$A$4:$O$15,3,FALSE()),""))</f>
        <v>1</v>
      </c>
      <c r="D23" s="8">
        <f>IF('Portfolio Input'!C23="","",IFERROR(VLOOKUP('Portfolio Input'!C23,'Sector Analysis'!$A$4:$O$15,4,FALSE()),""))</f>
        <v>2</v>
      </c>
      <c r="E23" s="8">
        <f>IF('Portfolio Input'!C23="","",IFERROR(VLOOKUP('Portfolio Input'!C23,'Sector Analysis'!$A$4:$O$15,5,FALSE()),""))</f>
        <v>4</v>
      </c>
      <c r="F23" s="8">
        <f>IF('Portfolio Input'!C23="","",IFERROR(VLOOKUP('Portfolio Input'!C23,'Sector Analysis'!$A$4:$O$15,6,FALSE()),""))</f>
        <v>4</v>
      </c>
      <c r="G23" s="6">
        <f t="shared" si="0"/>
        <v>2.15</v>
      </c>
      <c r="H23" s="8">
        <f>IF('Portfolio Input'!C23="","",IFERROR(VLOOKUP('Portfolio Input'!C23,'Sector Analysis'!$A$4:$O$15,8,FALSE()),""))</f>
        <v>1</v>
      </c>
      <c r="I23" s="8">
        <f>IF('Portfolio Input'!C23="","",IFERROR(VLOOKUP('Portfolio Input'!C23,'Sector Analysis'!$A$4:$O$15,9,FALSE()),""))</f>
        <v>1</v>
      </c>
      <c r="J23" s="8">
        <f>IF('Portfolio Input'!C23="","",IFERROR(VLOOKUP('Portfolio Input'!C23,'Sector Analysis'!$A$4:$O$15,10,FALSE()),""))</f>
        <v>1</v>
      </c>
      <c r="K23" s="8">
        <f>IF('Portfolio Input'!C23="","",IFERROR(VLOOKUP('Portfolio Input'!C23,'Sector Analysis'!$A$4:$O$15,11,FALSE()),""))</f>
        <v>1</v>
      </c>
      <c r="L23" s="8">
        <f>IF('Portfolio Input'!C23="","",IFERROR(VLOOKUP('Portfolio Input'!C23,'Sector Analysis'!$A$4:$O$15,12,FALSE()),""))</f>
        <v>1</v>
      </c>
      <c r="M23" s="6">
        <f t="shared" si="1"/>
        <v>1</v>
      </c>
      <c r="N23" s="6">
        <f t="shared" si="2"/>
        <v>1.1499999999999999</v>
      </c>
      <c r="O23" s="6" t="str">
        <f t="shared" si="3"/>
        <v>LOW-MEDIUM</v>
      </c>
      <c r="P23" s="6">
        <f t="shared" si="4"/>
        <v>7</v>
      </c>
      <c r="Q23" s="6">
        <f t="shared" si="5"/>
        <v>7</v>
      </c>
      <c r="R23" s="6">
        <f t="shared" si="6"/>
        <v>0</v>
      </c>
      <c r="S23" s="6">
        <f>IF(A23="","",IF('Portfolio Input'!U23&lt;=0.02,30,MIN(50,MAX(5,(1/('Portfolio Input'!U23-0.02))*(1-((1.02)/(1+'Portfolio Input'!U23))^P23)+((1.02)/(1+'Portfolio Input'!U23))^P23*(1/('Portfolio Input'!U23-0.02))))))</f>
        <v>25.217780310267855</v>
      </c>
      <c r="T23" s="6">
        <f>IF(A23="","",IF(('Portfolio Input'!U23+R23/10000)&lt;=0.02,30,MIN(50,MAX(5,(1/(('Portfolio Input'!U23+R23/10000)-0.02))*(1-((1.02)/(1+('Portfolio Input'!U23+R23/10000)))^Q23)+((1.02)/(1+('Portfolio Input'!U23+R23/10000)))^Q23*(1/(('Portfolio Input'!U23+R23/10000)-0.02))))))</f>
        <v>25.217780310267855</v>
      </c>
      <c r="U23" s="6">
        <f t="shared" si="7"/>
        <v>0</v>
      </c>
    </row>
    <row r="24" spans="1:21" ht="15" customHeight="1" x14ac:dyDescent="0.25">
      <c r="A24" s="7" t="str">
        <f>'Portfolio Input'!A24</f>
        <v>NEE</v>
      </c>
      <c r="B24" s="8">
        <f>IF('Portfolio Input'!C24="","",IFERROR(VLOOKUP('Portfolio Input'!C24,'Sector Analysis'!$A$4:$O$15,2,FALSE()),""))</f>
        <v>2</v>
      </c>
      <c r="C24" s="8">
        <f>IF('Portfolio Input'!C24="","",IFERROR(VLOOKUP('Portfolio Input'!C24,'Sector Analysis'!$A$4:$O$15,3,FALSE()),""))</f>
        <v>1</v>
      </c>
      <c r="D24" s="8">
        <f>IF('Portfolio Input'!C24="","",IFERROR(VLOOKUP('Portfolio Input'!C24,'Sector Analysis'!$A$4:$O$15,4,FALSE()),""))</f>
        <v>3</v>
      </c>
      <c r="E24" s="8">
        <f>IF('Portfolio Input'!C24="","",IFERROR(VLOOKUP('Portfolio Input'!C24,'Sector Analysis'!$A$4:$O$15,5,FALSE()),""))</f>
        <v>3</v>
      </c>
      <c r="F24" s="8">
        <f>IF('Portfolio Input'!C24="","",IFERROR(VLOOKUP('Portfolio Input'!C24,'Sector Analysis'!$A$4:$O$15,6,FALSE()),""))</f>
        <v>5</v>
      </c>
      <c r="G24" s="6">
        <f t="shared" si="0"/>
        <v>2.65</v>
      </c>
      <c r="H24" s="8">
        <f>IF('Portfolio Input'!C24="","",IFERROR(VLOOKUP('Portfolio Input'!C24,'Sector Analysis'!$A$4:$O$15,8,FALSE()),""))</f>
        <v>1</v>
      </c>
      <c r="I24" s="8">
        <f>IF('Portfolio Input'!C24="","",IFERROR(VLOOKUP('Portfolio Input'!C24,'Sector Analysis'!$A$4:$O$15,9,FALSE()),""))</f>
        <v>1</v>
      </c>
      <c r="J24" s="8">
        <f>IF('Portfolio Input'!C24="","",IFERROR(VLOOKUP('Portfolio Input'!C24,'Sector Analysis'!$A$4:$O$15,10,FALSE()),""))</f>
        <v>1</v>
      </c>
      <c r="K24" s="8">
        <f>IF('Portfolio Input'!C24="","",IFERROR(VLOOKUP('Portfolio Input'!C24,'Sector Analysis'!$A$4:$O$15,11,FALSE()),""))</f>
        <v>1</v>
      </c>
      <c r="L24" s="8">
        <f>IF('Portfolio Input'!C24="","",IFERROR(VLOOKUP('Portfolio Input'!C24,'Sector Analysis'!$A$4:$O$15,12,FALSE()),""))</f>
        <v>1</v>
      </c>
      <c r="M24" s="6">
        <f t="shared" si="1"/>
        <v>1</v>
      </c>
      <c r="N24" s="6">
        <f t="shared" si="2"/>
        <v>1.65</v>
      </c>
      <c r="O24" s="6" t="str">
        <f t="shared" si="3"/>
        <v>LOW</v>
      </c>
      <c r="P24" s="6">
        <f t="shared" si="4"/>
        <v>10</v>
      </c>
      <c r="Q24" s="6">
        <f t="shared" si="5"/>
        <v>10</v>
      </c>
      <c r="R24" s="6">
        <f t="shared" si="6"/>
        <v>0</v>
      </c>
      <c r="S24" s="6">
        <f>IF(A24="","",IF('Portfolio Input'!U24&lt;=0.02,30,MIN(50,MAX(5,(1/('Portfolio Input'!U24-0.02))*(1-((1.02)/(1+'Portfolio Input'!U24))^P24)+((1.02)/(1+'Portfolio Input'!U24))^P24*(1/('Portfolio Input'!U24-0.02))))))</f>
        <v>22.638432741460104</v>
      </c>
      <c r="T24" s="6">
        <f>IF(A24="","",IF(('Portfolio Input'!U24+R24/10000)&lt;=0.02,30,MIN(50,MAX(5,(1/(('Portfolio Input'!U24+R24/10000)-0.02))*(1-((1.02)/(1+('Portfolio Input'!U24+R24/10000)))^Q24)+((1.02)/(1+('Portfolio Input'!U24+R24/10000)))^Q24*(1/(('Portfolio Input'!U24+R24/10000)-0.02))))))</f>
        <v>22.638432741460104</v>
      </c>
      <c r="U24" s="6">
        <f t="shared" si="7"/>
        <v>0</v>
      </c>
    </row>
    <row r="25" spans="1:21" ht="15" customHeight="1" x14ac:dyDescent="0.25">
      <c r="A25" s="7" t="str">
        <f>'Portfolio Input'!A25</f>
        <v>GAP</v>
      </c>
      <c r="B25" s="8">
        <f>IF('Portfolio Input'!C25="","",IFERROR(VLOOKUP('Portfolio Input'!C25,'Sector Analysis'!$A$4:$O$15,2,FALSE()),""))</f>
        <v>2</v>
      </c>
      <c r="C25" s="8">
        <f>IF('Portfolio Input'!C25="","",IFERROR(VLOOKUP('Portfolio Input'!C25,'Sector Analysis'!$A$4:$O$15,3,FALSE()),""))</f>
        <v>2</v>
      </c>
      <c r="D25" s="8">
        <f>IF('Portfolio Input'!C25="","",IFERROR(VLOOKUP('Portfolio Input'!C25,'Sector Analysis'!$A$4:$O$15,4,FALSE()),""))</f>
        <v>3</v>
      </c>
      <c r="E25" s="8">
        <f>IF('Portfolio Input'!C25="","",IFERROR(VLOOKUP('Portfolio Input'!C25,'Sector Analysis'!$A$4:$O$15,5,FALSE()),""))</f>
        <v>2</v>
      </c>
      <c r="F25" s="8">
        <f>IF('Portfolio Input'!C25="","",IFERROR(VLOOKUP('Portfolio Input'!C25,'Sector Analysis'!$A$4:$O$15,6,FALSE()),""))</f>
        <v>1</v>
      </c>
      <c r="G25" s="6">
        <f>IF(OR(A25="", A25=0),"",B25*0.25+C25*0.2+D25*0.25+E25*0.15+F25*0.15)</f>
        <v>2.1</v>
      </c>
      <c r="H25" s="8">
        <f>IF('Portfolio Input'!C25="","",IFERROR(VLOOKUP('Portfolio Input'!C25,'Sector Analysis'!$A$4:$O$15,8,FALSE()),""))</f>
        <v>3</v>
      </c>
      <c r="I25" s="8">
        <f>IF('Portfolio Input'!C25="","",IFERROR(VLOOKUP('Portfolio Input'!C25,'Sector Analysis'!$A$4:$O$15,9,FALSE()),""))</f>
        <v>4</v>
      </c>
      <c r="J25" s="8">
        <f>IF('Portfolio Input'!C25="","",IFERROR(VLOOKUP('Portfolio Input'!C25,'Sector Analysis'!$A$4:$O$15,10,FALSE()),""))</f>
        <v>3</v>
      </c>
      <c r="K25" s="8">
        <f>IF('Portfolio Input'!C25="","",IFERROR(VLOOKUP('Portfolio Input'!C25,'Sector Analysis'!$A$4:$O$15,11,FALSE()),""))</f>
        <v>3</v>
      </c>
      <c r="L25" s="8">
        <f>IF('Portfolio Input'!C25="","",IFERROR(VLOOKUP('Portfolio Input'!C25,'Sector Analysis'!$A$4:$O$15,12,FALSE()),""))</f>
        <v>3</v>
      </c>
      <c r="M25" s="6">
        <f t="shared" si="1"/>
        <v>3.25</v>
      </c>
      <c r="N25" s="6">
        <f t="shared" si="2"/>
        <v>-1.1499999999999999</v>
      </c>
      <c r="O25" s="6" t="str">
        <f t="shared" si="3"/>
        <v>HIGH</v>
      </c>
      <c r="P25" s="6">
        <f t="shared" si="4"/>
        <v>7</v>
      </c>
      <c r="Q25" s="6">
        <f t="shared" si="5"/>
        <v>5</v>
      </c>
      <c r="R25" s="6">
        <f t="shared" si="6"/>
        <v>150</v>
      </c>
      <c r="S25" s="6">
        <f>IF(A25="","",IF('Portfolio Input'!U25&lt;=0.02,30,MIN(50,MAX(5,(1/('Portfolio Input'!U25-0.02))*(1-((1.02)/(1+'Portfolio Input'!U25))^P25)+((1.02)/(1+'Portfolio Input'!U25))^P25*(1/('Portfolio Input'!U25-0.02))))))</f>
        <v>11.497743542644036</v>
      </c>
      <c r="T25" s="6">
        <f>IF(A25="","",IF(('Portfolio Input'!U25+R25/10000)&lt;=0.02,30,MIN(50,MAX(5,(1/(('Portfolio Input'!U25+R25/10000)-0.02))*(1-((1.02)/(1+('Portfolio Input'!U25+R25/10000)))^Q25)+((1.02)/(1+('Portfolio Input'!U25+R25/10000)))^Q25*(1/(('Portfolio Input'!U25+R25/10000)-0.02))))))</f>
        <v>9.8064609471711215</v>
      </c>
      <c r="U25" s="6">
        <f t="shared" si="7"/>
        <v>14.709691420756677</v>
      </c>
    </row>
    <row r="26" spans="1:21" ht="15" customHeight="1" x14ac:dyDescent="0.25">
      <c r="A26" s="7">
        <f>'Portfolio Input'!A26</f>
        <v>0</v>
      </c>
      <c r="B26" s="8" t="str">
        <f>IF('Portfolio Input'!C26="","",IFERROR(VLOOKUP('Portfolio Input'!C26,'Sector Analysis'!$A$4:$O$15,2,FALSE()),""))</f>
        <v/>
      </c>
      <c r="C26" s="8" t="str">
        <f>IF('Portfolio Input'!C26="","",IFERROR(VLOOKUP('Portfolio Input'!C26,'Sector Analysis'!$A$4:$O$15,3,FALSE()),""))</f>
        <v/>
      </c>
      <c r="D26" s="8" t="str">
        <f>IF('Portfolio Input'!C26="","",IFERROR(VLOOKUP('Portfolio Input'!C26,'Sector Analysis'!$A$4:$O$15,4,FALSE()),""))</f>
        <v/>
      </c>
      <c r="E26" s="8" t="str">
        <f>IF('Portfolio Input'!C26="","",IFERROR(VLOOKUP('Portfolio Input'!C26,'Sector Analysis'!$A$4:$O$15,5,FALSE()),""))</f>
        <v/>
      </c>
      <c r="F26" s="8" t="str">
        <f>IF('Portfolio Input'!C26="","",IFERROR(VLOOKUP('Portfolio Input'!C26,'Sector Analysis'!$A$4:$O$15,6,FALSE()),""))</f>
        <v/>
      </c>
      <c r="G26" s="6" t="str">
        <f t="shared" ref="G26:G54" si="8">IF(OR(A26="", A26=0),"",B26*0.25+C26*0.2+D26*0.25+E26*0.15+F26*0.15)</f>
        <v/>
      </c>
      <c r="H26" s="8" t="str">
        <f>IF('Portfolio Input'!C26="","",IFERROR(VLOOKUP('Portfolio Input'!C26,'Sector Analysis'!$A$4:$O$15,8,FALSE()),""))</f>
        <v/>
      </c>
      <c r="I26" s="8" t="str">
        <f>IF('Portfolio Input'!C26="","",IFERROR(VLOOKUP('Portfolio Input'!C26,'Sector Analysis'!$A$4:$O$15,9,FALSE()),""))</f>
        <v/>
      </c>
      <c r="J26" s="8" t="str">
        <f>IF('Portfolio Input'!C26="","",IFERROR(VLOOKUP('Portfolio Input'!C26,'Sector Analysis'!$A$4:$O$15,10,FALSE()),""))</f>
        <v/>
      </c>
      <c r="K26" s="8" t="str">
        <f>IF('Portfolio Input'!C26="","",IFERROR(VLOOKUP('Portfolio Input'!C26,'Sector Analysis'!$A$4:$O$15,11,FALSE()),""))</f>
        <v/>
      </c>
      <c r="L26" s="8" t="str">
        <f>IF('Portfolio Input'!C26="","",IFERROR(VLOOKUP('Portfolio Input'!C26,'Sector Analysis'!$A$4:$O$15,12,FALSE()),""))</f>
        <v/>
      </c>
      <c r="M26" s="6" t="e">
        <f t="shared" si="1"/>
        <v>#VALUE!</v>
      </c>
      <c r="N26" s="6" t="e">
        <f t="shared" si="2"/>
        <v>#VALUE!</v>
      </c>
      <c r="O26" s="6" t="e">
        <f t="shared" si="3"/>
        <v>#VALUE!</v>
      </c>
      <c r="P26" s="6">
        <f t="shared" si="4"/>
        <v>22</v>
      </c>
      <c r="Q26" s="6" t="e">
        <f t="shared" si="5"/>
        <v>#VALUE!</v>
      </c>
      <c r="R26" s="6" t="e">
        <f t="shared" si="6"/>
        <v>#VALUE!</v>
      </c>
      <c r="S26" s="6" t="e">
        <f>IF(A26="","",IF('Portfolio Input'!U26&lt;=0.02,30,MIN(50,MAX(5,(1/('Portfolio Input'!U26-0.02))*(1-((1.02)/(1+'Portfolio Input'!U26))^P26)+((1.02)/(1+'Portfolio Input'!U26))^P26*(1/('Portfolio Input'!U26-0.02))))))</f>
        <v>#VALUE!</v>
      </c>
      <c r="T26" s="6" t="e">
        <f>IF(A26="","",IF(('Portfolio Input'!U26+R26/10000)&lt;=0.02,30,MIN(50,MAX(5,(1/(('Portfolio Input'!U26+R26/10000)-0.02))*(1-((1.02)/(1+('Portfolio Input'!U26+R26/10000)))^Q26)+((1.02)/(1+('Portfolio Input'!U26+R26/10000)))^Q26*(1/(('Portfolio Input'!U26+R26/10000)-0.02))))))</f>
        <v>#VALUE!</v>
      </c>
      <c r="U26" s="6" t="e">
        <f t="shared" si="7"/>
        <v>#VALUE!</v>
      </c>
    </row>
    <row r="27" spans="1:21" ht="15" customHeight="1" x14ac:dyDescent="0.25">
      <c r="A27" s="7">
        <f>'Portfolio Input'!A27</f>
        <v>0</v>
      </c>
      <c r="B27" s="8" t="str">
        <f>IF('Portfolio Input'!C27="","",IFERROR(VLOOKUP('Portfolio Input'!C27,'Sector Analysis'!$A$4:$O$15,2,FALSE()),""))</f>
        <v/>
      </c>
      <c r="C27" s="8" t="str">
        <f>IF('Portfolio Input'!C27="","",IFERROR(VLOOKUP('Portfolio Input'!C27,'Sector Analysis'!$A$4:$O$15,3,FALSE()),""))</f>
        <v/>
      </c>
      <c r="D27" s="8" t="str">
        <f>IF('Portfolio Input'!C27="","",IFERROR(VLOOKUP('Portfolio Input'!C27,'Sector Analysis'!$A$4:$O$15,4,FALSE()),""))</f>
        <v/>
      </c>
      <c r="E27" s="8" t="str">
        <f>IF('Portfolio Input'!C27="","",IFERROR(VLOOKUP('Portfolio Input'!C27,'Sector Analysis'!$A$4:$O$15,5,FALSE()),""))</f>
        <v/>
      </c>
      <c r="F27" s="8" t="str">
        <f>IF('Portfolio Input'!C27="","",IFERROR(VLOOKUP('Portfolio Input'!C27,'Sector Analysis'!$A$4:$O$15,6,FALSE()),""))</f>
        <v/>
      </c>
      <c r="G27" s="6" t="str">
        <f t="shared" si="8"/>
        <v/>
      </c>
      <c r="H27" s="8" t="str">
        <f>IF('Portfolio Input'!C27="","",IFERROR(VLOOKUP('Portfolio Input'!C27,'Sector Analysis'!$A$4:$O$15,8,FALSE()),""))</f>
        <v/>
      </c>
      <c r="I27" s="8" t="str">
        <f>IF('Portfolio Input'!C27="","",IFERROR(VLOOKUP('Portfolio Input'!C27,'Sector Analysis'!$A$4:$O$15,9,FALSE()),""))</f>
        <v/>
      </c>
      <c r="J27" s="8" t="str">
        <f>IF('Portfolio Input'!C27="","",IFERROR(VLOOKUP('Portfolio Input'!C27,'Sector Analysis'!$A$4:$O$15,10,FALSE()),""))</f>
        <v/>
      </c>
      <c r="K27" s="8" t="str">
        <f>IF('Portfolio Input'!C27="","",IFERROR(VLOOKUP('Portfolio Input'!C27,'Sector Analysis'!$A$4:$O$15,11,FALSE()),""))</f>
        <v/>
      </c>
      <c r="L27" s="8" t="str">
        <f>IF('Portfolio Input'!C27="","",IFERROR(VLOOKUP('Portfolio Input'!C27,'Sector Analysis'!$A$4:$O$15,12,FALSE()),""))</f>
        <v/>
      </c>
      <c r="M27" s="6" t="e">
        <f t="shared" si="1"/>
        <v>#VALUE!</v>
      </c>
      <c r="N27" s="6" t="e">
        <f t="shared" si="2"/>
        <v>#VALUE!</v>
      </c>
      <c r="O27" s="6" t="e">
        <f t="shared" si="3"/>
        <v>#VALUE!</v>
      </c>
      <c r="P27" s="6">
        <f t="shared" si="4"/>
        <v>22</v>
      </c>
      <c r="Q27" s="6" t="e">
        <f t="shared" si="5"/>
        <v>#VALUE!</v>
      </c>
      <c r="R27" s="6" t="e">
        <f t="shared" si="6"/>
        <v>#VALUE!</v>
      </c>
      <c r="S27" s="6" t="e">
        <f>IF(A27="","",IF('Portfolio Input'!U27&lt;=0.02,30,MIN(50,MAX(5,(1/('Portfolio Input'!U27-0.02))*(1-((1.02)/(1+'Portfolio Input'!U27))^P27)+((1.02)/(1+'Portfolio Input'!U27))^P27*(1/('Portfolio Input'!U27-0.02))))))</f>
        <v>#VALUE!</v>
      </c>
      <c r="T27" s="6" t="e">
        <f>IF(A27="","",IF(('Portfolio Input'!U27+R27/10000)&lt;=0.02,30,MIN(50,MAX(5,(1/(('Portfolio Input'!U27+R27/10000)-0.02))*(1-((1.02)/(1+('Portfolio Input'!U27+R27/10000)))^Q27)+((1.02)/(1+('Portfolio Input'!U27+R27/10000)))^Q27*(1/(('Portfolio Input'!U27+R27/10000)-0.02))))))</f>
        <v>#VALUE!</v>
      </c>
      <c r="U27" s="6" t="e">
        <f t="shared" si="7"/>
        <v>#VALUE!</v>
      </c>
    </row>
    <row r="28" spans="1:21" ht="15" customHeight="1" x14ac:dyDescent="0.25">
      <c r="A28" s="7">
        <f>'Portfolio Input'!A28</f>
        <v>0</v>
      </c>
      <c r="B28" s="8" t="str">
        <f>IF('Portfolio Input'!C28="","",IFERROR(VLOOKUP('Portfolio Input'!C28,'Sector Analysis'!$A$4:$O$15,2,FALSE()),""))</f>
        <v/>
      </c>
      <c r="C28" s="8" t="str">
        <f>IF('Portfolio Input'!C28="","",IFERROR(VLOOKUP('Portfolio Input'!C28,'Sector Analysis'!$A$4:$O$15,3,FALSE()),""))</f>
        <v/>
      </c>
      <c r="D28" s="8" t="str">
        <f>IF('Portfolio Input'!C28="","",IFERROR(VLOOKUP('Portfolio Input'!C28,'Sector Analysis'!$A$4:$O$15,4,FALSE()),""))</f>
        <v/>
      </c>
      <c r="E28" s="8" t="str">
        <f>IF('Portfolio Input'!C28="","",IFERROR(VLOOKUP('Portfolio Input'!C28,'Sector Analysis'!$A$4:$O$15,5,FALSE()),""))</f>
        <v/>
      </c>
      <c r="F28" s="8" t="str">
        <f>IF('Portfolio Input'!C28="","",IFERROR(VLOOKUP('Portfolio Input'!C28,'Sector Analysis'!$A$4:$O$15,6,FALSE()),""))</f>
        <v/>
      </c>
      <c r="G28" s="6" t="str">
        <f t="shared" si="8"/>
        <v/>
      </c>
      <c r="H28" s="8" t="str">
        <f>IF('Portfolio Input'!C28="","",IFERROR(VLOOKUP('Portfolio Input'!C28,'Sector Analysis'!$A$4:$O$15,8,FALSE()),""))</f>
        <v/>
      </c>
      <c r="I28" s="8" t="str">
        <f>IF('Portfolio Input'!C28="","",IFERROR(VLOOKUP('Portfolio Input'!C28,'Sector Analysis'!$A$4:$O$15,9,FALSE()),""))</f>
        <v/>
      </c>
      <c r="J28" s="8" t="str">
        <f>IF('Portfolio Input'!C28="","",IFERROR(VLOOKUP('Portfolio Input'!C28,'Sector Analysis'!$A$4:$O$15,10,FALSE()),""))</f>
        <v/>
      </c>
      <c r="K28" s="8" t="str">
        <f>IF('Portfolio Input'!C28="","",IFERROR(VLOOKUP('Portfolio Input'!C28,'Sector Analysis'!$A$4:$O$15,11,FALSE()),""))</f>
        <v/>
      </c>
      <c r="L28" s="8" t="str">
        <f>IF('Portfolio Input'!C28="","",IFERROR(VLOOKUP('Portfolio Input'!C28,'Sector Analysis'!$A$4:$O$15,12,FALSE()),""))</f>
        <v/>
      </c>
      <c r="M28" s="6" t="e">
        <f t="shared" si="1"/>
        <v>#VALUE!</v>
      </c>
      <c r="N28" s="6" t="e">
        <f t="shared" si="2"/>
        <v>#VALUE!</v>
      </c>
      <c r="O28" s="6" t="e">
        <f t="shared" si="3"/>
        <v>#VALUE!</v>
      </c>
      <c r="P28" s="6">
        <f t="shared" si="4"/>
        <v>22</v>
      </c>
      <c r="Q28" s="6" t="e">
        <f t="shared" si="5"/>
        <v>#VALUE!</v>
      </c>
      <c r="R28" s="6" t="e">
        <f t="shared" si="6"/>
        <v>#VALUE!</v>
      </c>
      <c r="S28" s="6" t="e">
        <f>IF(A28="","",IF('Portfolio Input'!U28&lt;=0.02,30,MIN(50,MAX(5,(1/('Portfolio Input'!U28-0.02))*(1-((1.02)/(1+'Portfolio Input'!U28))^P28)+((1.02)/(1+'Portfolio Input'!U28))^P28*(1/('Portfolio Input'!U28-0.02))))))</f>
        <v>#VALUE!</v>
      </c>
      <c r="T28" s="6" t="e">
        <f>IF(A28="","",IF(('Portfolio Input'!U28+R28/10000)&lt;=0.02,30,MIN(50,MAX(5,(1/(('Portfolio Input'!U28+R28/10000)-0.02))*(1-((1.02)/(1+('Portfolio Input'!U28+R28/10000)))^Q28)+((1.02)/(1+('Portfolio Input'!U28+R28/10000)))^Q28*(1/(('Portfolio Input'!U28+R28/10000)-0.02))))))</f>
        <v>#VALUE!</v>
      </c>
      <c r="U28" s="6" t="e">
        <f t="shared" si="7"/>
        <v>#VALUE!</v>
      </c>
    </row>
    <row r="29" spans="1:21" ht="15" customHeight="1" x14ac:dyDescent="0.25">
      <c r="A29" s="7">
        <f>'Portfolio Input'!A29</f>
        <v>0</v>
      </c>
      <c r="B29" s="8" t="str">
        <f>IF('Portfolio Input'!C29="","",IFERROR(VLOOKUP('Portfolio Input'!C29,'Sector Analysis'!$A$4:$O$15,2,FALSE()),""))</f>
        <v/>
      </c>
      <c r="C29" s="8" t="str">
        <f>IF('Portfolio Input'!C29="","",IFERROR(VLOOKUP('Portfolio Input'!C29,'Sector Analysis'!$A$4:$O$15,3,FALSE()),""))</f>
        <v/>
      </c>
      <c r="D29" s="8" t="str">
        <f>IF('Portfolio Input'!C29="","",IFERROR(VLOOKUP('Portfolio Input'!C29,'Sector Analysis'!$A$4:$O$15,4,FALSE()),""))</f>
        <v/>
      </c>
      <c r="E29" s="8" t="str">
        <f>IF('Portfolio Input'!C29="","",IFERROR(VLOOKUP('Portfolio Input'!C29,'Sector Analysis'!$A$4:$O$15,5,FALSE()),""))</f>
        <v/>
      </c>
      <c r="F29" s="8" t="str">
        <f>IF('Portfolio Input'!C29="","",IFERROR(VLOOKUP('Portfolio Input'!C29,'Sector Analysis'!$A$4:$O$15,6,FALSE()),""))</f>
        <v/>
      </c>
      <c r="G29" s="6" t="str">
        <f t="shared" si="8"/>
        <v/>
      </c>
      <c r="H29" s="8" t="str">
        <f>IF('Portfolio Input'!C29="","",IFERROR(VLOOKUP('Portfolio Input'!C29,'Sector Analysis'!$A$4:$O$15,8,FALSE()),""))</f>
        <v/>
      </c>
      <c r="I29" s="8" t="str">
        <f>IF('Portfolio Input'!C29="","",IFERROR(VLOOKUP('Portfolio Input'!C29,'Sector Analysis'!$A$4:$O$15,9,FALSE()),""))</f>
        <v/>
      </c>
      <c r="J29" s="8" t="str">
        <f>IF('Portfolio Input'!C29="","",IFERROR(VLOOKUP('Portfolio Input'!C29,'Sector Analysis'!$A$4:$O$15,10,FALSE()),""))</f>
        <v/>
      </c>
      <c r="K29" s="8" t="str">
        <f>IF('Portfolio Input'!C29="","",IFERROR(VLOOKUP('Portfolio Input'!C29,'Sector Analysis'!$A$4:$O$15,11,FALSE()),""))</f>
        <v/>
      </c>
      <c r="L29" s="8" t="str">
        <f>IF('Portfolio Input'!C29="","",IFERROR(VLOOKUP('Portfolio Input'!C29,'Sector Analysis'!$A$4:$O$15,12,FALSE()),""))</f>
        <v/>
      </c>
      <c r="M29" s="6" t="e">
        <f t="shared" si="1"/>
        <v>#VALUE!</v>
      </c>
      <c r="N29" s="6" t="e">
        <f t="shared" si="2"/>
        <v>#VALUE!</v>
      </c>
      <c r="O29" s="6" t="e">
        <f t="shared" si="3"/>
        <v>#VALUE!</v>
      </c>
      <c r="P29" s="6">
        <f t="shared" si="4"/>
        <v>22</v>
      </c>
      <c r="Q29" s="6" t="e">
        <f t="shared" si="5"/>
        <v>#VALUE!</v>
      </c>
      <c r="R29" s="6" t="e">
        <f t="shared" si="6"/>
        <v>#VALUE!</v>
      </c>
      <c r="S29" s="6" t="e">
        <f>IF(A29="","",IF('Portfolio Input'!U29&lt;=0.02,30,MIN(50,MAX(5,(1/('Portfolio Input'!U29-0.02))*(1-((1.02)/(1+'Portfolio Input'!U29))^P29)+((1.02)/(1+'Portfolio Input'!U29))^P29*(1/('Portfolio Input'!U29-0.02))))))</f>
        <v>#VALUE!</v>
      </c>
      <c r="T29" s="6" t="e">
        <f>IF(A29="","",IF(('Portfolio Input'!U29+R29/10000)&lt;=0.02,30,MIN(50,MAX(5,(1/(('Portfolio Input'!U29+R29/10000)-0.02))*(1-((1.02)/(1+('Portfolio Input'!U29+R29/10000)))^Q29)+((1.02)/(1+('Portfolio Input'!U29+R29/10000)))^Q29*(1/(('Portfolio Input'!U29+R29/10000)-0.02))))))</f>
        <v>#VALUE!</v>
      </c>
      <c r="U29" s="6" t="e">
        <f t="shared" si="7"/>
        <v>#VALUE!</v>
      </c>
    </row>
    <row r="30" spans="1:21" ht="15" customHeight="1" x14ac:dyDescent="0.25">
      <c r="A30" s="7">
        <f>'Portfolio Input'!A30</f>
        <v>0</v>
      </c>
      <c r="B30" s="8" t="str">
        <f>IF('Portfolio Input'!C30="","",IFERROR(VLOOKUP('Portfolio Input'!C30,'Sector Analysis'!$A$4:$O$15,2,FALSE()),""))</f>
        <v/>
      </c>
      <c r="C30" s="8" t="str">
        <f>IF('Portfolio Input'!C30="","",IFERROR(VLOOKUP('Portfolio Input'!C30,'Sector Analysis'!$A$4:$O$15,3,FALSE()),""))</f>
        <v/>
      </c>
      <c r="D30" s="8" t="str">
        <f>IF('Portfolio Input'!C30="","",IFERROR(VLOOKUP('Portfolio Input'!C30,'Sector Analysis'!$A$4:$O$15,4,FALSE()),""))</f>
        <v/>
      </c>
      <c r="E30" s="8" t="str">
        <f>IF('Portfolio Input'!C30="","",IFERROR(VLOOKUP('Portfolio Input'!C30,'Sector Analysis'!$A$4:$O$15,5,FALSE()),""))</f>
        <v/>
      </c>
      <c r="F30" s="8" t="str">
        <f>IF('Portfolio Input'!C30="","",IFERROR(VLOOKUP('Portfolio Input'!C30,'Sector Analysis'!$A$4:$O$15,6,FALSE()),""))</f>
        <v/>
      </c>
      <c r="G30" s="6" t="str">
        <f t="shared" si="8"/>
        <v/>
      </c>
      <c r="H30" s="8" t="str">
        <f>IF('Portfolio Input'!C30="","",IFERROR(VLOOKUP('Portfolio Input'!C30,'Sector Analysis'!$A$4:$O$15,8,FALSE()),""))</f>
        <v/>
      </c>
      <c r="I30" s="8" t="str">
        <f>IF('Portfolio Input'!C30="","",IFERROR(VLOOKUP('Portfolio Input'!C30,'Sector Analysis'!$A$4:$O$15,9,FALSE()),""))</f>
        <v/>
      </c>
      <c r="J30" s="8" t="str">
        <f>IF('Portfolio Input'!C30="","",IFERROR(VLOOKUP('Portfolio Input'!C30,'Sector Analysis'!$A$4:$O$15,10,FALSE()),""))</f>
        <v/>
      </c>
      <c r="K30" s="8" t="str">
        <f>IF('Portfolio Input'!C30="","",IFERROR(VLOOKUP('Portfolio Input'!C30,'Sector Analysis'!$A$4:$O$15,11,FALSE()),""))</f>
        <v/>
      </c>
      <c r="L30" s="8" t="str">
        <f>IF('Portfolio Input'!C30="","",IFERROR(VLOOKUP('Portfolio Input'!C30,'Sector Analysis'!$A$4:$O$15,12,FALSE()),""))</f>
        <v/>
      </c>
      <c r="M30" s="6" t="e">
        <f t="shared" si="1"/>
        <v>#VALUE!</v>
      </c>
      <c r="N30" s="6" t="e">
        <f t="shared" si="2"/>
        <v>#VALUE!</v>
      </c>
      <c r="O30" s="6" t="e">
        <f t="shared" si="3"/>
        <v>#VALUE!</v>
      </c>
      <c r="P30" s="6">
        <f t="shared" si="4"/>
        <v>22</v>
      </c>
      <c r="Q30" s="6" t="e">
        <f t="shared" si="5"/>
        <v>#VALUE!</v>
      </c>
      <c r="R30" s="6" t="e">
        <f t="shared" si="6"/>
        <v>#VALUE!</v>
      </c>
      <c r="S30" s="6" t="e">
        <f>IF(A30="","",IF('Portfolio Input'!U30&lt;=0.02,30,MIN(50,MAX(5,(1/('Portfolio Input'!U30-0.02))*(1-((1.02)/(1+'Portfolio Input'!U30))^P30)+((1.02)/(1+'Portfolio Input'!U30))^P30*(1/('Portfolio Input'!U30-0.02))))))</f>
        <v>#VALUE!</v>
      </c>
      <c r="T30" s="6" t="e">
        <f>IF(A30="","",IF(('Portfolio Input'!U30+R30/10000)&lt;=0.02,30,MIN(50,MAX(5,(1/(('Portfolio Input'!U30+R30/10000)-0.02))*(1-((1.02)/(1+('Portfolio Input'!U30+R30/10000)))^Q30)+((1.02)/(1+('Portfolio Input'!U30+R30/10000)))^Q30*(1/(('Portfolio Input'!U30+R30/10000)-0.02))))))</f>
        <v>#VALUE!</v>
      </c>
      <c r="U30" s="6" t="e">
        <f t="shared" si="7"/>
        <v>#VALUE!</v>
      </c>
    </row>
    <row r="31" spans="1:21" ht="15" customHeight="1" x14ac:dyDescent="0.25">
      <c r="A31" s="7">
        <f>'Portfolio Input'!A31</f>
        <v>0</v>
      </c>
      <c r="B31" s="8" t="str">
        <f>IF('Portfolio Input'!C31="","",IFERROR(VLOOKUP('Portfolio Input'!C31,'Sector Analysis'!$A$4:$O$15,2,FALSE()),""))</f>
        <v/>
      </c>
      <c r="C31" s="8" t="str">
        <f>IF('Portfolio Input'!C31="","",IFERROR(VLOOKUP('Portfolio Input'!C31,'Sector Analysis'!$A$4:$O$15,3,FALSE()),""))</f>
        <v/>
      </c>
      <c r="D31" s="8" t="str">
        <f>IF('Portfolio Input'!C31="","",IFERROR(VLOOKUP('Portfolio Input'!C31,'Sector Analysis'!$A$4:$O$15,4,FALSE()),""))</f>
        <v/>
      </c>
      <c r="E31" s="8" t="str">
        <f>IF('Portfolio Input'!C31="","",IFERROR(VLOOKUP('Portfolio Input'!C31,'Sector Analysis'!$A$4:$O$15,5,FALSE()),""))</f>
        <v/>
      </c>
      <c r="F31" s="8" t="str">
        <f>IF('Portfolio Input'!C31="","",IFERROR(VLOOKUP('Portfolio Input'!C31,'Sector Analysis'!$A$4:$O$15,6,FALSE()),""))</f>
        <v/>
      </c>
      <c r="G31" s="6" t="str">
        <f t="shared" si="8"/>
        <v/>
      </c>
      <c r="H31" s="8" t="str">
        <f>IF('Portfolio Input'!C31="","",IFERROR(VLOOKUP('Portfolio Input'!C31,'Sector Analysis'!$A$4:$O$15,8,FALSE()),""))</f>
        <v/>
      </c>
      <c r="I31" s="8" t="str">
        <f>IF('Portfolio Input'!C31="","",IFERROR(VLOOKUP('Portfolio Input'!C31,'Sector Analysis'!$A$4:$O$15,9,FALSE()),""))</f>
        <v/>
      </c>
      <c r="J31" s="8" t="str">
        <f>IF('Portfolio Input'!C31="","",IFERROR(VLOOKUP('Portfolio Input'!C31,'Sector Analysis'!$A$4:$O$15,10,FALSE()),""))</f>
        <v/>
      </c>
      <c r="K31" s="8" t="str">
        <f>IF('Portfolio Input'!C31="","",IFERROR(VLOOKUP('Portfolio Input'!C31,'Sector Analysis'!$A$4:$O$15,11,FALSE()),""))</f>
        <v/>
      </c>
      <c r="L31" s="8" t="str">
        <f>IF('Portfolio Input'!C31="","",IFERROR(VLOOKUP('Portfolio Input'!C31,'Sector Analysis'!$A$4:$O$15,12,FALSE()),""))</f>
        <v/>
      </c>
      <c r="M31" s="6" t="e">
        <f t="shared" si="1"/>
        <v>#VALUE!</v>
      </c>
      <c r="N31" s="6" t="e">
        <f t="shared" si="2"/>
        <v>#VALUE!</v>
      </c>
      <c r="O31" s="6" t="e">
        <f t="shared" si="3"/>
        <v>#VALUE!</v>
      </c>
      <c r="P31" s="6">
        <f t="shared" si="4"/>
        <v>22</v>
      </c>
      <c r="Q31" s="6" t="e">
        <f t="shared" si="5"/>
        <v>#VALUE!</v>
      </c>
      <c r="R31" s="6" t="e">
        <f t="shared" si="6"/>
        <v>#VALUE!</v>
      </c>
      <c r="S31" s="6" t="e">
        <f>IF(A31="","",IF('Portfolio Input'!U31&lt;=0.02,30,MIN(50,MAX(5,(1/('Portfolio Input'!U31-0.02))*(1-((1.02)/(1+'Portfolio Input'!U31))^P31)+((1.02)/(1+'Portfolio Input'!U31))^P31*(1/('Portfolio Input'!U31-0.02))))))</f>
        <v>#VALUE!</v>
      </c>
      <c r="T31" s="6" t="e">
        <f>IF(A31="","",IF(('Portfolio Input'!U31+R31/10000)&lt;=0.02,30,MIN(50,MAX(5,(1/(('Portfolio Input'!U31+R31/10000)-0.02))*(1-((1.02)/(1+('Portfolio Input'!U31+R31/10000)))^Q31)+((1.02)/(1+('Portfolio Input'!U31+R31/10000)))^Q31*(1/(('Portfolio Input'!U31+R31/10000)-0.02))))))</f>
        <v>#VALUE!</v>
      </c>
      <c r="U31" s="6" t="e">
        <f t="shared" si="7"/>
        <v>#VALUE!</v>
      </c>
    </row>
    <row r="32" spans="1:21" ht="15" customHeight="1" x14ac:dyDescent="0.25">
      <c r="A32" s="7">
        <f>'Portfolio Input'!A32</f>
        <v>0</v>
      </c>
      <c r="B32" s="8" t="str">
        <f>IF('Portfolio Input'!C32="","",IFERROR(VLOOKUP('Portfolio Input'!C32,'Sector Analysis'!$A$4:$O$15,2,FALSE()),""))</f>
        <v/>
      </c>
      <c r="C32" s="8" t="str">
        <f>IF('Portfolio Input'!C32="","",IFERROR(VLOOKUP('Portfolio Input'!C32,'Sector Analysis'!$A$4:$O$15,3,FALSE()),""))</f>
        <v/>
      </c>
      <c r="D32" s="8" t="str">
        <f>IF('Portfolio Input'!C32="","",IFERROR(VLOOKUP('Portfolio Input'!C32,'Sector Analysis'!$A$4:$O$15,4,FALSE()),""))</f>
        <v/>
      </c>
      <c r="E32" s="8" t="str">
        <f>IF('Portfolio Input'!C32="","",IFERROR(VLOOKUP('Portfolio Input'!C32,'Sector Analysis'!$A$4:$O$15,5,FALSE()),""))</f>
        <v/>
      </c>
      <c r="F32" s="8" t="str">
        <f>IF('Portfolio Input'!C32="","",IFERROR(VLOOKUP('Portfolio Input'!C32,'Sector Analysis'!$A$4:$O$15,6,FALSE()),""))</f>
        <v/>
      </c>
      <c r="G32" s="6" t="str">
        <f t="shared" si="8"/>
        <v/>
      </c>
      <c r="H32" s="8" t="str">
        <f>IF('Portfolio Input'!C32="","",IFERROR(VLOOKUP('Portfolio Input'!C32,'Sector Analysis'!$A$4:$O$15,8,FALSE()),""))</f>
        <v/>
      </c>
      <c r="I32" s="8" t="str">
        <f>IF('Portfolio Input'!C32="","",IFERROR(VLOOKUP('Portfolio Input'!C32,'Sector Analysis'!$A$4:$O$15,9,FALSE()),""))</f>
        <v/>
      </c>
      <c r="J32" s="8" t="str">
        <f>IF('Portfolio Input'!C32="","",IFERROR(VLOOKUP('Portfolio Input'!C32,'Sector Analysis'!$A$4:$O$15,10,FALSE()),""))</f>
        <v/>
      </c>
      <c r="K32" s="8" t="str">
        <f>IF('Portfolio Input'!C32="","",IFERROR(VLOOKUP('Portfolio Input'!C32,'Sector Analysis'!$A$4:$O$15,11,FALSE()),""))</f>
        <v/>
      </c>
      <c r="L32" s="8" t="str">
        <f>IF('Portfolio Input'!C32="","",IFERROR(VLOOKUP('Portfolio Input'!C32,'Sector Analysis'!$A$4:$O$15,12,FALSE()),""))</f>
        <v/>
      </c>
      <c r="M32" s="6" t="e">
        <f t="shared" si="1"/>
        <v>#VALUE!</v>
      </c>
      <c r="N32" s="6" t="e">
        <f t="shared" si="2"/>
        <v>#VALUE!</v>
      </c>
      <c r="O32" s="6" t="e">
        <f t="shared" si="3"/>
        <v>#VALUE!</v>
      </c>
      <c r="P32" s="6">
        <f t="shared" si="4"/>
        <v>22</v>
      </c>
      <c r="Q32" s="6" t="e">
        <f t="shared" si="5"/>
        <v>#VALUE!</v>
      </c>
      <c r="R32" s="6" t="e">
        <f t="shared" si="6"/>
        <v>#VALUE!</v>
      </c>
      <c r="S32" s="6" t="e">
        <f>IF(A32="","",IF('Portfolio Input'!U32&lt;=0.02,30,MIN(50,MAX(5,(1/('Portfolio Input'!U32-0.02))*(1-((1.02)/(1+'Portfolio Input'!U32))^P32)+((1.02)/(1+'Portfolio Input'!U32))^P32*(1/('Portfolio Input'!U32-0.02))))))</f>
        <v>#VALUE!</v>
      </c>
      <c r="T32" s="6" t="e">
        <f>IF(A32="","",IF(('Portfolio Input'!U32+R32/10000)&lt;=0.02,30,MIN(50,MAX(5,(1/(('Portfolio Input'!U32+R32/10000)-0.02))*(1-((1.02)/(1+('Portfolio Input'!U32+R32/10000)))^Q32)+((1.02)/(1+('Portfolio Input'!U32+R32/10000)))^Q32*(1/(('Portfolio Input'!U32+R32/10000)-0.02))))))</f>
        <v>#VALUE!</v>
      </c>
      <c r="U32" s="6" t="e">
        <f t="shared" si="7"/>
        <v>#VALUE!</v>
      </c>
    </row>
    <row r="33" spans="1:21" ht="15" customHeight="1" x14ac:dyDescent="0.25">
      <c r="A33" s="7">
        <f>'Portfolio Input'!A33</f>
        <v>0</v>
      </c>
      <c r="B33" s="8" t="str">
        <f>IF('Portfolio Input'!C33="","",IFERROR(VLOOKUP('Portfolio Input'!C33,'Sector Analysis'!$A$4:$O$15,2,FALSE()),""))</f>
        <v/>
      </c>
      <c r="C33" s="8" t="str">
        <f>IF('Portfolio Input'!C33="","",IFERROR(VLOOKUP('Portfolio Input'!C33,'Sector Analysis'!$A$4:$O$15,3,FALSE()),""))</f>
        <v/>
      </c>
      <c r="D33" s="8" t="str">
        <f>IF('Portfolio Input'!C33="","",IFERROR(VLOOKUP('Portfolio Input'!C33,'Sector Analysis'!$A$4:$O$15,4,FALSE()),""))</f>
        <v/>
      </c>
      <c r="E33" s="8" t="str">
        <f>IF('Portfolio Input'!C33="","",IFERROR(VLOOKUP('Portfolio Input'!C33,'Sector Analysis'!$A$4:$O$15,5,FALSE()),""))</f>
        <v/>
      </c>
      <c r="F33" s="8" t="str">
        <f>IF('Portfolio Input'!C33="","",IFERROR(VLOOKUP('Portfolio Input'!C33,'Sector Analysis'!$A$4:$O$15,6,FALSE()),""))</f>
        <v/>
      </c>
      <c r="G33" s="6" t="str">
        <f t="shared" si="8"/>
        <v/>
      </c>
      <c r="H33" s="8" t="str">
        <f>IF('Portfolio Input'!C33="","",IFERROR(VLOOKUP('Portfolio Input'!C33,'Sector Analysis'!$A$4:$O$15,8,FALSE()),""))</f>
        <v/>
      </c>
      <c r="I33" s="8" t="str">
        <f>IF('Portfolio Input'!C33="","",IFERROR(VLOOKUP('Portfolio Input'!C33,'Sector Analysis'!$A$4:$O$15,9,FALSE()),""))</f>
        <v/>
      </c>
      <c r="J33" s="8" t="str">
        <f>IF('Portfolio Input'!C33="","",IFERROR(VLOOKUP('Portfolio Input'!C33,'Sector Analysis'!$A$4:$O$15,10,FALSE()),""))</f>
        <v/>
      </c>
      <c r="K33" s="8" t="str">
        <f>IF('Portfolio Input'!C33="","",IFERROR(VLOOKUP('Portfolio Input'!C33,'Sector Analysis'!$A$4:$O$15,11,FALSE()),""))</f>
        <v/>
      </c>
      <c r="L33" s="8" t="str">
        <f>IF('Portfolio Input'!C33="","",IFERROR(VLOOKUP('Portfolio Input'!C33,'Sector Analysis'!$A$4:$O$15,12,FALSE()),""))</f>
        <v/>
      </c>
      <c r="M33" s="6" t="e">
        <f t="shared" si="1"/>
        <v>#VALUE!</v>
      </c>
      <c r="N33" s="6" t="e">
        <f t="shared" si="2"/>
        <v>#VALUE!</v>
      </c>
      <c r="O33" s="6" t="e">
        <f t="shared" si="3"/>
        <v>#VALUE!</v>
      </c>
      <c r="P33" s="6">
        <f t="shared" si="4"/>
        <v>22</v>
      </c>
      <c r="Q33" s="6" t="e">
        <f t="shared" si="5"/>
        <v>#VALUE!</v>
      </c>
      <c r="R33" s="6" t="e">
        <f t="shared" si="6"/>
        <v>#VALUE!</v>
      </c>
      <c r="S33" s="6" t="e">
        <f>IF(A33="","",IF('Portfolio Input'!U33&lt;=0.02,30,MIN(50,MAX(5,(1/('Portfolio Input'!U33-0.02))*(1-((1.02)/(1+'Portfolio Input'!U33))^P33)+((1.02)/(1+'Portfolio Input'!U33))^P33*(1/('Portfolio Input'!U33-0.02))))))</f>
        <v>#VALUE!</v>
      </c>
      <c r="T33" s="6" t="e">
        <f>IF(A33="","",IF(('Portfolio Input'!U33+R33/10000)&lt;=0.02,30,MIN(50,MAX(5,(1/(('Portfolio Input'!U33+R33/10000)-0.02))*(1-((1.02)/(1+('Portfolio Input'!U33+R33/10000)))^Q33)+((1.02)/(1+('Portfolio Input'!U33+R33/10000)))^Q33*(1/(('Portfolio Input'!U33+R33/10000)-0.02))))))</f>
        <v>#VALUE!</v>
      </c>
      <c r="U33" s="6" t="e">
        <f t="shared" si="7"/>
        <v>#VALUE!</v>
      </c>
    </row>
    <row r="34" spans="1:21" ht="15" customHeight="1" x14ac:dyDescent="0.25">
      <c r="A34" s="7">
        <f>'Portfolio Input'!A34</f>
        <v>0</v>
      </c>
      <c r="B34" s="8" t="str">
        <f>IF('Portfolio Input'!C34="","",IFERROR(VLOOKUP('Portfolio Input'!C34,'Sector Analysis'!$A$4:$O$15,2,FALSE()),""))</f>
        <v/>
      </c>
      <c r="C34" s="8" t="str">
        <f>IF('Portfolio Input'!C34="","",IFERROR(VLOOKUP('Portfolio Input'!C34,'Sector Analysis'!$A$4:$O$15,3,FALSE()),""))</f>
        <v/>
      </c>
      <c r="D34" s="8" t="str">
        <f>IF('Portfolio Input'!C34="","",IFERROR(VLOOKUP('Portfolio Input'!C34,'Sector Analysis'!$A$4:$O$15,4,FALSE()),""))</f>
        <v/>
      </c>
      <c r="E34" s="8" t="str">
        <f>IF('Portfolio Input'!C34="","",IFERROR(VLOOKUP('Portfolio Input'!C34,'Sector Analysis'!$A$4:$O$15,5,FALSE()),""))</f>
        <v/>
      </c>
      <c r="F34" s="8" t="str">
        <f>IF('Portfolio Input'!C34="","",IFERROR(VLOOKUP('Portfolio Input'!C34,'Sector Analysis'!$A$4:$O$15,6,FALSE()),""))</f>
        <v/>
      </c>
      <c r="G34" s="6" t="str">
        <f t="shared" si="8"/>
        <v/>
      </c>
      <c r="H34" s="8" t="str">
        <f>IF('Portfolio Input'!C34="","",IFERROR(VLOOKUP('Portfolio Input'!C34,'Sector Analysis'!$A$4:$O$15,8,FALSE()),""))</f>
        <v/>
      </c>
      <c r="I34" s="8" t="str">
        <f>IF('Portfolio Input'!C34="","",IFERROR(VLOOKUP('Portfolio Input'!C34,'Sector Analysis'!$A$4:$O$15,9,FALSE()),""))</f>
        <v/>
      </c>
      <c r="J34" s="8" t="str">
        <f>IF('Portfolio Input'!C34="","",IFERROR(VLOOKUP('Portfolio Input'!C34,'Sector Analysis'!$A$4:$O$15,10,FALSE()),""))</f>
        <v/>
      </c>
      <c r="K34" s="8" t="str">
        <f>IF('Portfolio Input'!C34="","",IFERROR(VLOOKUP('Portfolio Input'!C34,'Sector Analysis'!$A$4:$O$15,11,FALSE()),""))</f>
        <v/>
      </c>
      <c r="L34" s="8" t="str">
        <f>IF('Portfolio Input'!C34="","",IFERROR(VLOOKUP('Portfolio Input'!C34,'Sector Analysis'!$A$4:$O$15,12,FALSE()),""))</f>
        <v/>
      </c>
      <c r="M34" s="6" t="e">
        <f t="shared" si="1"/>
        <v>#VALUE!</v>
      </c>
      <c r="N34" s="6" t="e">
        <f t="shared" si="2"/>
        <v>#VALUE!</v>
      </c>
      <c r="O34" s="6" t="e">
        <f t="shared" si="3"/>
        <v>#VALUE!</v>
      </c>
      <c r="P34" s="6">
        <f t="shared" si="4"/>
        <v>22</v>
      </c>
      <c r="Q34" s="6" t="e">
        <f t="shared" si="5"/>
        <v>#VALUE!</v>
      </c>
      <c r="R34" s="6" t="e">
        <f t="shared" si="6"/>
        <v>#VALUE!</v>
      </c>
      <c r="S34" s="6" t="e">
        <f>IF(A34="","",IF('Portfolio Input'!U34&lt;=0.02,30,MIN(50,MAX(5,(1/('Portfolio Input'!U34-0.02))*(1-((1.02)/(1+'Portfolio Input'!U34))^P34)+((1.02)/(1+'Portfolio Input'!U34))^P34*(1/('Portfolio Input'!U34-0.02))))))</f>
        <v>#VALUE!</v>
      </c>
      <c r="T34" s="6" t="e">
        <f>IF(A34="","",IF(('Portfolio Input'!U34+R34/10000)&lt;=0.02,30,MIN(50,MAX(5,(1/(('Portfolio Input'!U34+R34/10000)-0.02))*(1-((1.02)/(1+('Portfolio Input'!U34+R34/10000)))^Q34)+((1.02)/(1+('Portfolio Input'!U34+R34/10000)))^Q34*(1/(('Portfolio Input'!U34+R34/10000)-0.02))))))</f>
        <v>#VALUE!</v>
      </c>
      <c r="U34" s="6" t="e">
        <f t="shared" si="7"/>
        <v>#VALUE!</v>
      </c>
    </row>
    <row r="35" spans="1:21" ht="15" customHeight="1" x14ac:dyDescent="0.25">
      <c r="A35" s="7">
        <f>'Portfolio Input'!A35</f>
        <v>0</v>
      </c>
      <c r="B35" s="8" t="str">
        <f>IF('Portfolio Input'!C35="","",IFERROR(VLOOKUP('Portfolio Input'!C35,'Sector Analysis'!$A$4:$O$15,2,FALSE()),""))</f>
        <v/>
      </c>
      <c r="C35" s="8" t="str">
        <f>IF('Portfolio Input'!C35="","",IFERROR(VLOOKUP('Portfolio Input'!C35,'Sector Analysis'!$A$4:$O$15,3,FALSE()),""))</f>
        <v/>
      </c>
      <c r="D35" s="8" t="str">
        <f>IF('Portfolio Input'!C35="","",IFERROR(VLOOKUP('Portfolio Input'!C35,'Sector Analysis'!$A$4:$O$15,4,FALSE()),""))</f>
        <v/>
      </c>
      <c r="E35" s="8" t="str">
        <f>IF('Portfolio Input'!C35="","",IFERROR(VLOOKUP('Portfolio Input'!C35,'Sector Analysis'!$A$4:$O$15,5,FALSE()),""))</f>
        <v/>
      </c>
      <c r="F35" s="8" t="str">
        <f>IF('Portfolio Input'!C35="","",IFERROR(VLOOKUP('Portfolio Input'!C35,'Sector Analysis'!$A$4:$O$15,6,FALSE()),""))</f>
        <v/>
      </c>
      <c r="G35" s="6" t="str">
        <f t="shared" si="8"/>
        <v/>
      </c>
      <c r="H35" s="8" t="str">
        <f>IF('Portfolio Input'!C35="","",IFERROR(VLOOKUP('Portfolio Input'!C35,'Sector Analysis'!$A$4:$O$15,8,FALSE()),""))</f>
        <v/>
      </c>
      <c r="I35" s="8" t="str">
        <f>IF('Portfolio Input'!C35="","",IFERROR(VLOOKUP('Portfolio Input'!C35,'Sector Analysis'!$A$4:$O$15,9,FALSE()),""))</f>
        <v/>
      </c>
      <c r="J35" s="8" t="str">
        <f>IF('Portfolio Input'!C35="","",IFERROR(VLOOKUP('Portfolio Input'!C35,'Sector Analysis'!$A$4:$O$15,10,FALSE()),""))</f>
        <v/>
      </c>
      <c r="K35" s="8" t="str">
        <f>IF('Portfolio Input'!C35="","",IFERROR(VLOOKUP('Portfolio Input'!C35,'Sector Analysis'!$A$4:$O$15,11,FALSE()),""))</f>
        <v/>
      </c>
      <c r="L35" s="8" t="str">
        <f>IF('Portfolio Input'!C35="","",IFERROR(VLOOKUP('Portfolio Input'!C35,'Sector Analysis'!$A$4:$O$15,12,FALSE()),""))</f>
        <v/>
      </c>
      <c r="M35" s="6" t="e">
        <f t="shared" si="1"/>
        <v>#VALUE!</v>
      </c>
      <c r="N35" s="6" t="e">
        <f t="shared" si="2"/>
        <v>#VALUE!</v>
      </c>
      <c r="O35" s="6" t="e">
        <f t="shared" si="3"/>
        <v>#VALUE!</v>
      </c>
      <c r="P35" s="6">
        <f t="shared" si="4"/>
        <v>22</v>
      </c>
      <c r="Q35" s="6" t="e">
        <f t="shared" si="5"/>
        <v>#VALUE!</v>
      </c>
      <c r="R35" s="6" t="e">
        <f t="shared" si="6"/>
        <v>#VALUE!</v>
      </c>
      <c r="S35" s="6" t="e">
        <f>IF(A35="","",IF('Portfolio Input'!U35&lt;=0.02,30,MIN(50,MAX(5,(1/('Portfolio Input'!U35-0.02))*(1-((1.02)/(1+'Portfolio Input'!U35))^P35)+((1.02)/(1+'Portfolio Input'!U35))^P35*(1/('Portfolio Input'!U35-0.02))))))</f>
        <v>#VALUE!</v>
      </c>
      <c r="T35" s="6" t="e">
        <f>IF(A35="","",IF(('Portfolio Input'!U35+R35/10000)&lt;=0.02,30,MIN(50,MAX(5,(1/(('Portfolio Input'!U35+R35/10000)-0.02))*(1-((1.02)/(1+('Portfolio Input'!U35+R35/10000)))^Q35)+((1.02)/(1+('Portfolio Input'!U35+R35/10000)))^Q35*(1/(('Portfolio Input'!U35+R35/10000)-0.02))))))</f>
        <v>#VALUE!</v>
      </c>
      <c r="U35" s="6" t="e">
        <f t="shared" si="7"/>
        <v>#VALUE!</v>
      </c>
    </row>
    <row r="36" spans="1:21" ht="15" customHeight="1" x14ac:dyDescent="0.25">
      <c r="A36" s="7">
        <f>'Portfolio Input'!A36</f>
        <v>0</v>
      </c>
      <c r="B36" s="8" t="str">
        <f>IF('Portfolio Input'!C36="","",IFERROR(VLOOKUP('Portfolio Input'!C36,'Sector Analysis'!$A$4:$O$15,2,FALSE()),""))</f>
        <v/>
      </c>
      <c r="C36" s="8" t="str">
        <f>IF('Portfolio Input'!C36="","",IFERROR(VLOOKUP('Portfolio Input'!C36,'Sector Analysis'!$A$4:$O$15,3,FALSE()),""))</f>
        <v/>
      </c>
      <c r="D36" s="8" t="str">
        <f>IF('Portfolio Input'!C36="","",IFERROR(VLOOKUP('Portfolio Input'!C36,'Sector Analysis'!$A$4:$O$15,4,FALSE()),""))</f>
        <v/>
      </c>
      <c r="E36" s="8" t="str">
        <f>IF('Portfolio Input'!C36="","",IFERROR(VLOOKUP('Portfolio Input'!C36,'Sector Analysis'!$A$4:$O$15,5,FALSE()),""))</f>
        <v/>
      </c>
      <c r="F36" s="8" t="str">
        <f>IF('Portfolio Input'!C36="","",IFERROR(VLOOKUP('Portfolio Input'!C36,'Sector Analysis'!$A$4:$O$15,6,FALSE()),""))</f>
        <v/>
      </c>
      <c r="G36" s="6" t="str">
        <f t="shared" si="8"/>
        <v/>
      </c>
      <c r="H36" s="8" t="str">
        <f>IF('Portfolio Input'!C36="","",IFERROR(VLOOKUP('Portfolio Input'!C36,'Sector Analysis'!$A$4:$O$15,8,FALSE()),""))</f>
        <v/>
      </c>
      <c r="I36" s="8" t="str">
        <f>IF('Portfolio Input'!C36="","",IFERROR(VLOOKUP('Portfolio Input'!C36,'Sector Analysis'!$A$4:$O$15,9,FALSE()),""))</f>
        <v/>
      </c>
      <c r="J36" s="8" t="str">
        <f>IF('Portfolio Input'!C36="","",IFERROR(VLOOKUP('Portfolio Input'!C36,'Sector Analysis'!$A$4:$O$15,10,FALSE()),""))</f>
        <v/>
      </c>
      <c r="K36" s="8" t="str">
        <f>IF('Portfolio Input'!C36="","",IFERROR(VLOOKUP('Portfolio Input'!C36,'Sector Analysis'!$A$4:$O$15,11,FALSE()),""))</f>
        <v/>
      </c>
      <c r="L36" s="8" t="str">
        <f>IF('Portfolio Input'!C36="","",IFERROR(VLOOKUP('Portfolio Input'!C36,'Sector Analysis'!$A$4:$O$15,12,FALSE()),""))</f>
        <v/>
      </c>
      <c r="M36" s="6" t="e">
        <f t="shared" si="1"/>
        <v>#VALUE!</v>
      </c>
      <c r="N36" s="6" t="e">
        <f t="shared" si="2"/>
        <v>#VALUE!</v>
      </c>
      <c r="O36" s="6" t="e">
        <f t="shared" si="3"/>
        <v>#VALUE!</v>
      </c>
      <c r="P36" s="6">
        <f t="shared" si="4"/>
        <v>22</v>
      </c>
      <c r="Q36" s="6" t="e">
        <f t="shared" si="5"/>
        <v>#VALUE!</v>
      </c>
      <c r="R36" s="6" t="e">
        <f t="shared" si="6"/>
        <v>#VALUE!</v>
      </c>
      <c r="S36" s="6" t="e">
        <f>IF(A36="","",IF('Portfolio Input'!U36&lt;=0.02,30,MIN(50,MAX(5,(1/('Portfolio Input'!U36-0.02))*(1-((1.02)/(1+'Portfolio Input'!U36))^P36)+((1.02)/(1+'Portfolio Input'!U36))^P36*(1/('Portfolio Input'!U36-0.02))))))</f>
        <v>#VALUE!</v>
      </c>
      <c r="T36" s="6" t="e">
        <f>IF(A36="","",IF(('Portfolio Input'!U36+R36/10000)&lt;=0.02,30,MIN(50,MAX(5,(1/(('Portfolio Input'!U36+R36/10000)-0.02))*(1-((1.02)/(1+('Portfolio Input'!U36+R36/10000)))^Q36)+((1.02)/(1+('Portfolio Input'!U36+R36/10000)))^Q36*(1/(('Portfolio Input'!U36+R36/10000)-0.02))))))</f>
        <v>#VALUE!</v>
      </c>
      <c r="U36" s="6" t="e">
        <f t="shared" si="7"/>
        <v>#VALUE!</v>
      </c>
    </row>
    <row r="37" spans="1:21" ht="15" customHeight="1" x14ac:dyDescent="0.25">
      <c r="A37" s="7">
        <f>'Portfolio Input'!A37</f>
        <v>0</v>
      </c>
      <c r="B37" s="8" t="str">
        <f>IF('Portfolio Input'!C37="","",IFERROR(VLOOKUP('Portfolio Input'!C37,'Sector Analysis'!$A$4:$O$15,2,FALSE()),""))</f>
        <v/>
      </c>
      <c r="C37" s="8" t="str">
        <f>IF('Portfolio Input'!C37="","",IFERROR(VLOOKUP('Portfolio Input'!C37,'Sector Analysis'!$A$4:$O$15,3,FALSE()),""))</f>
        <v/>
      </c>
      <c r="D37" s="8" t="str">
        <f>IF('Portfolio Input'!C37="","",IFERROR(VLOOKUP('Portfolio Input'!C37,'Sector Analysis'!$A$4:$O$15,4,FALSE()),""))</f>
        <v/>
      </c>
      <c r="E37" s="8" t="str">
        <f>IF('Portfolio Input'!C37="","",IFERROR(VLOOKUP('Portfolio Input'!C37,'Sector Analysis'!$A$4:$O$15,5,FALSE()),""))</f>
        <v/>
      </c>
      <c r="F37" s="8" t="str">
        <f>IF('Portfolio Input'!C37="","",IFERROR(VLOOKUP('Portfolio Input'!C37,'Sector Analysis'!$A$4:$O$15,6,FALSE()),""))</f>
        <v/>
      </c>
      <c r="G37" s="6" t="str">
        <f t="shared" si="8"/>
        <v/>
      </c>
      <c r="H37" s="8" t="str">
        <f>IF('Portfolio Input'!C37="","",IFERROR(VLOOKUP('Portfolio Input'!C37,'Sector Analysis'!$A$4:$O$15,8,FALSE()),""))</f>
        <v/>
      </c>
      <c r="I37" s="8" t="str">
        <f>IF('Portfolio Input'!C37="","",IFERROR(VLOOKUP('Portfolio Input'!C37,'Sector Analysis'!$A$4:$O$15,9,FALSE()),""))</f>
        <v/>
      </c>
      <c r="J37" s="8" t="str">
        <f>IF('Portfolio Input'!C37="","",IFERROR(VLOOKUP('Portfolio Input'!C37,'Sector Analysis'!$A$4:$O$15,10,FALSE()),""))</f>
        <v/>
      </c>
      <c r="K37" s="8" t="str">
        <f>IF('Portfolio Input'!C37="","",IFERROR(VLOOKUP('Portfolio Input'!C37,'Sector Analysis'!$A$4:$O$15,11,FALSE()),""))</f>
        <v/>
      </c>
      <c r="L37" s="8" t="str">
        <f>IF('Portfolio Input'!C37="","",IFERROR(VLOOKUP('Portfolio Input'!C37,'Sector Analysis'!$A$4:$O$15,12,FALSE()),""))</f>
        <v/>
      </c>
      <c r="M37" s="6" t="e">
        <f t="shared" ref="M37:M68" si="9">IF(A37="","",H37*0.25+I37*0.25+J37*0.15+K37*0.2+L37*0.15)</f>
        <v>#VALUE!</v>
      </c>
      <c r="N37" s="6" t="e">
        <f t="shared" ref="N37:N68" si="10">IF(A37="","",G37-M37)</f>
        <v>#VALUE!</v>
      </c>
      <c r="O37" s="6" t="e">
        <f t="shared" ref="O37:O68" si="11">IF(A37="","",IF(N37&lt;=-2,"CRITICAL",IF(N37&lt;=-0.5,"HIGH",IF(N37&lt;=0.5,"MEDIUM",IF(N37&lt;=1.5,"LOW-MEDIUM","LOW")))))</f>
        <v>#VALUE!</v>
      </c>
      <c r="P37" s="6">
        <f t="shared" ref="P37:P54" si="12">IF(A37="","",IF(G37&gt;=4,22,IF(G37&gt;=3.5,18,IF(G37&gt;=3,14,IF(G37&gt;=2.5,10,IF(G37&gt;=2,7,4))))))</f>
        <v>22</v>
      </c>
      <c r="Q37" s="6" t="e">
        <f t="shared" ref="Q37:Q68" si="13">IF(A37="","",MAX(2,ROUND(P37*(1-MAX(0,(M37-1.5)*0.15)),0)))</f>
        <v>#VALUE!</v>
      </c>
      <c r="R37" s="6" t="e">
        <f t="shared" ref="R37:R54" si="14">IF(A37="","",MIN(400,IF(M37&gt;=4,300,IF(M37&gt;=3.5,225,IF(M37&gt;=3,150,IF(M37&gt;=2.5,100,IF(M37&gt;=2,50,0)))))))</f>
        <v>#VALUE!</v>
      </c>
      <c r="S37" s="6" t="e">
        <f>IF(A37="","",IF('Portfolio Input'!U37&lt;=0.02,30,MIN(50,MAX(5,(1/('Portfolio Input'!U37-0.02))*(1-((1.02)/(1+'Portfolio Input'!U37))^P37)+((1.02)/(1+'Portfolio Input'!U37))^P37*(1/('Portfolio Input'!U37-0.02))))))</f>
        <v>#VALUE!</v>
      </c>
      <c r="T37" s="6" t="e">
        <f>IF(A37="","",IF(('Portfolio Input'!U37+R37/10000)&lt;=0.02,30,MIN(50,MAX(5,(1/(('Portfolio Input'!U37+R37/10000)-0.02))*(1-((1.02)/(1+('Portfolio Input'!U37+R37/10000)))^Q37)+((1.02)/(1+('Portfolio Input'!U37+R37/10000)))^Q37*(1/(('Portfolio Input'!U37+R37/10000)-0.02))))))</f>
        <v>#VALUE!</v>
      </c>
      <c r="U37" s="6" t="e">
        <f t="shared" ref="U37:U68" si="15">IF(A37="","",IF(S37&gt;0,(S37-T37)/S37*100,0))</f>
        <v>#VALUE!</v>
      </c>
    </row>
    <row r="38" spans="1:21" ht="15" customHeight="1" x14ac:dyDescent="0.25">
      <c r="A38" s="7">
        <f>'Portfolio Input'!A38</f>
        <v>0</v>
      </c>
      <c r="B38" s="8" t="str">
        <f>IF('Portfolio Input'!C38="","",IFERROR(VLOOKUP('Portfolio Input'!C38,'Sector Analysis'!$A$4:$O$15,2,FALSE()),""))</f>
        <v/>
      </c>
      <c r="C38" s="8" t="str">
        <f>IF('Portfolio Input'!C38="","",IFERROR(VLOOKUP('Portfolio Input'!C38,'Sector Analysis'!$A$4:$O$15,3,FALSE()),""))</f>
        <v/>
      </c>
      <c r="D38" s="8" t="str">
        <f>IF('Portfolio Input'!C38="","",IFERROR(VLOOKUP('Portfolio Input'!C38,'Sector Analysis'!$A$4:$O$15,4,FALSE()),""))</f>
        <v/>
      </c>
      <c r="E38" s="8" t="str">
        <f>IF('Portfolio Input'!C38="","",IFERROR(VLOOKUP('Portfolio Input'!C38,'Sector Analysis'!$A$4:$O$15,5,FALSE()),""))</f>
        <v/>
      </c>
      <c r="F38" s="8" t="str">
        <f>IF('Portfolio Input'!C38="","",IFERROR(VLOOKUP('Portfolio Input'!C38,'Sector Analysis'!$A$4:$O$15,6,FALSE()),""))</f>
        <v/>
      </c>
      <c r="G38" s="6" t="str">
        <f t="shared" si="8"/>
        <v/>
      </c>
      <c r="H38" s="8" t="str">
        <f>IF('Portfolio Input'!C38="","",IFERROR(VLOOKUP('Portfolio Input'!C38,'Sector Analysis'!$A$4:$O$15,8,FALSE()),""))</f>
        <v/>
      </c>
      <c r="I38" s="8" t="str">
        <f>IF('Portfolio Input'!C38="","",IFERROR(VLOOKUP('Portfolio Input'!C38,'Sector Analysis'!$A$4:$O$15,9,FALSE()),""))</f>
        <v/>
      </c>
      <c r="J38" s="8" t="str">
        <f>IF('Portfolio Input'!C38="","",IFERROR(VLOOKUP('Portfolio Input'!C38,'Sector Analysis'!$A$4:$O$15,10,FALSE()),""))</f>
        <v/>
      </c>
      <c r="K38" s="8" t="str">
        <f>IF('Portfolio Input'!C38="","",IFERROR(VLOOKUP('Portfolio Input'!C38,'Sector Analysis'!$A$4:$O$15,11,FALSE()),""))</f>
        <v/>
      </c>
      <c r="L38" s="8" t="str">
        <f>IF('Portfolio Input'!C38="","",IFERROR(VLOOKUP('Portfolio Input'!C38,'Sector Analysis'!$A$4:$O$15,12,FALSE()),""))</f>
        <v/>
      </c>
      <c r="M38" s="6" t="e">
        <f t="shared" si="9"/>
        <v>#VALUE!</v>
      </c>
      <c r="N38" s="6" t="e">
        <f t="shared" si="10"/>
        <v>#VALUE!</v>
      </c>
      <c r="O38" s="6" t="e">
        <f t="shared" si="11"/>
        <v>#VALUE!</v>
      </c>
      <c r="P38" s="6">
        <f t="shared" si="12"/>
        <v>22</v>
      </c>
      <c r="Q38" s="6" t="e">
        <f t="shared" si="13"/>
        <v>#VALUE!</v>
      </c>
      <c r="R38" s="6" t="e">
        <f t="shared" si="14"/>
        <v>#VALUE!</v>
      </c>
      <c r="S38" s="6" t="e">
        <f>IF(A38="","",IF('Portfolio Input'!U38&lt;=0.02,30,MIN(50,MAX(5,(1/('Portfolio Input'!U38-0.02))*(1-((1.02)/(1+'Portfolio Input'!U38))^P38)+((1.02)/(1+'Portfolio Input'!U38))^P38*(1/('Portfolio Input'!U38-0.02))))))</f>
        <v>#VALUE!</v>
      </c>
      <c r="T38" s="6" t="e">
        <f>IF(A38="","",IF(('Portfolio Input'!U38+R38/10000)&lt;=0.02,30,MIN(50,MAX(5,(1/(('Portfolio Input'!U38+R38/10000)-0.02))*(1-((1.02)/(1+('Portfolio Input'!U38+R38/10000)))^Q38)+((1.02)/(1+('Portfolio Input'!U38+R38/10000)))^Q38*(1/(('Portfolio Input'!U38+R38/10000)-0.02))))))</f>
        <v>#VALUE!</v>
      </c>
      <c r="U38" s="6" t="e">
        <f t="shared" si="15"/>
        <v>#VALUE!</v>
      </c>
    </row>
    <row r="39" spans="1:21" ht="15" customHeight="1" x14ac:dyDescent="0.25">
      <c r="A39" s="7">
        <f>'Portfolio Input'!A39</f>
        <v>0</v>
      </c>
      <c r="B39" s="8" t="str">
        <f>IF('Portfolio Input'!C39="","",IFERROR(VLOOKUP('Portfolio Input'!C39,'Sector Analysis'!$A$4:$O$15,2,FALSE()),""))</f>
        <v/>
      </c>
      <c r="C39" s="8" t="str">
        <f>IF('Portfolio Input'!C39="","",IFERROR(VLOOKUP('Portfolio Input'!C39,'Sector Analysis'!$A$4:$O$15,3,FALSE()),""))</f>
        <v/>
      </c>
      <c r="D39" s="8" t="str">
        <f>IF('Portfolio Input'!C39="","",IFERROR(VLOOKUP('Portfolio Input'!C39,'Sector Analysis'!$A$4:$O$15,4,FALSE()),""))</f>
        <v/>
      </c>
      <c r="E39" s="8" t="str">
        <f>IF('Portfolio Input'!C39="","",IFERROR(VLOOKUP('Portfolio Input'!C39,'Sector Analysis'!$A$4:$O$15,5,FALSE()),""))</f>
        <v/>
      </c>
      <c r="F39" s="8" t="str">
        <f>IF('Portfolio Input'!C39="","",IFERROR(VLOOKUP('Portfolio Input'!C39,'Sector Analysis'!$A$4:$O$15,6,FALSE()),""))</f>
        <v/>
      </c>
      <c r="G39" s="6" t="str">
        <f t="shared" si="8"/>
        <v/>
      </c>
      <c r="H39" s="8" t="str">
        <f>IF('Portfolio Input'!C39="","",IFERROR(VLOOKUP('Portfolio Input'!C39,'Sector Analysis'!$A$4:$O$15,8,FALSE()),""))</f>
        <v/>
      </c>
      <c r="I39" s="8" t="str">
        <f>IF('Portfolio Input'!C39="","",IFERROR(VLOOKUP('Portfolio Input'!C39,'Sector Analysis'!$A$4:$O$15,9,FALSE()),""))</f>
        <v/>
      </c>
      <c r="J39" s="8" t="str">
        <f>IF('Portfolio Input'!C39="","",IFERROR(VLOOKUP('Portfolio Input'!C39,'Sector Analysis'!$A$4:$O$15,10,FALSE()),""))</f>
        <v/>
      </c>
      <c r="K39" s="8" t="str">
        <f>IF('Portfolio Input'!C39="","",IFERROR(VLOOKUP('Portfolio Input'!C39,'Sector Analysis'!$A$4:$O$15,11,FALSE()),""))</f>
        <v/>
      </c>
      <c r="L39" s="8" t="str">
        <f>IF('Portfolio Input'!C39="","",IFERROR(VLOOKUP('Portfolio Input'!C39,'Sector Analysis'!$A$4:$O$15,12,FALSE()),""))</f>
        <v/>
      </c>
      <c r="M39" s="6" t="e">
        <f t="shared" si="9"/>
        <v>#VALUE!</v>
      </c>
      <c r="N39" s="6" t="e">
        <f t="shared" si="10"/>
        <v>#VALUE!</v>
      </c>
      <c r="O39" s="6" t="e">
        <f t="shared" si="11"/>
        <v>#VALUE!</v>
      </c>
      <c r="P39" s="6">
        <f t="shared" si="12"/>
        <v>22</v>
      </c>
      <c r="Q39" s="6" t="e">
        <f t="shared" si="13"/>
        <v>#VALUE!</v>
      </c>
      <c r="R39" s="6" t="e">
        <f t="shared" si="14"/>
        <v>#VALUE!</v>
      </c>
      <c r="S39" s="6" t="e">
        <f>IF(A39="","",IF('Portfolio Input'!U39&lt;=0.02,30,MIN(50,MAX(5,(1/('Portfolio Input'!U39-0.02))*(1-((1.02)/(1+'Portfolio Input'!U39))^P39)+((1.02)/(1+'Portfolio Input'!U39))^P39*(1/('Portfolio Input'!U39-0.02))))))</f>
        <v>#VALUE!</v>
      </c>
      <c r="T39" s="6" t="e">
        <f>IF(A39="","",IF(('Portfolio Input'!U39+R39/10000)&lt;=0.02,30,MIN(50,MAX(5,(1/(('Portfolio Input'!U39+R39/10000)-0.02))*(1-((1.02)/(1+('Portfolio Input'!U39+R39/10000)))^Q39)+((1.02)/(1+('Portfolio Input'!U39+R39/10000)))^Q39*(1/(('Portfolio Input'!U39+R39/10000)-0.02))))))</f>
        <v>#VALUE!</v>
      </c>
      <c r="U39" s="6" t="e">
        <f t="shared" si="15"/>
        <v>#VALUE!</v>
      </c>
    </row>
    <row r="40" spans="1:21" ht="15" customHeight="1" x14ac:dyDescent="0.25">
      <c r="A40" s="7">
        <f>'Portfolio Input'!A40</f>
        <v>0</v>
      </c>
      <c r="B40" s="8" t="str">
        <f>IF('Portfolio Input'!C40="","",IFERROR(VLOOKUP('Portfolio Input'!C40,'Sector Analysis'!$A$4:$O$15,2,FALSE()),""))</f>
        <v/>
      </c>
      <c r="C40" s="8" t="str">
        <f>IF('Portfolio Input'!C40="","",IFERROR(VLOOKUP('Portfolio Input'!C40,'Sector Analysis'!$A$4:$O$15,3,FALSE()),""))</f>
        <v/>
      </c>
      <c r="D40" s="8" t="str">
        <f>IF('Portfolio Input'!C40="","",IFERROR(VLOOKUP('Portfolio Input'!C40,'Sector Analysis'!$A$4:$O$15,4,FALSE()),""))</f>
        <v/>
      </c>
      <c r="E40" s="8" t="str">
        <f>IF('Portfolio Input'!C40="","",IFERROR(VLOOKUP('Portfolio Input'!C40,'Sector Analysis'!$A$4:$O$15,5,FALSE()),""))</f>
        <v/>
      </c>
      <c r="F40" s="8" t="str">
        <f>IF('Portfolio Input'!C40="","",IFERROR(VLOOKUP('Portfolio Input'!C40,'Sector Analysis'!$A$4:$O$15,6,FALSE()),""))</f>
        <v/>
      </c>
      <c r="G40" s="6" t="str">
        <f t="shared" si="8"/>
        <v/>
      </c>
      <c r="H40" s="8" t="str">
        <f>IF('Portfolio Input'!C40="","",IFERROR(VLOOKUP('Portfolio Input'!C40,'Sector Analysis'!$A$4:$O$15,8,FALSE()),""))</f>
        <v/>
      </c>
      <c r="I40" s="8" t="str">
        <f>IF('Portfolio Input'!C40="","",IFERROR(VLOOKUP('Portfolio Input'!C40,'Sector Analysis'!$A$4:$O$15,9,FALSE()),""))</f>
        <v/>
      </c>
      <c r="J40" s="8" t="str">
        <f>IF('Portfolio Input'!C40="","",IFERROR(VLOOKUP('Portfolio Input'!C40,'Sector Analysis'!$A$4:$O$15,10,FALSE()),""))</f>
        <v/>
      </c>
      <c r="K40" s="8" t="str">
        <f>IF('Portfolio Input'!C40="","",IFERROR(VLOOKUP('Portfolio Input'!C40,'Sector Analysis'!$A$4:$O$15,11,FALSE()),""))</f>
        <v/>
      </c>
      <c r="L40" s="8" t="str">
        <f>IF('Portfolio Input'!C40="","",IFERROR(VLOOKUP('Portfolio Input'!C40,'Sector Analysis'!$A$4:$O$15,12,FALSE()),""))</f>
        <v/>
      </c>
      <c r="M40" s="6" t="e">
        <f t="shared" si="9"/>
        <v>#VALUE!</v>
      </c>
      <c r="N40" s="6" t="e">
        <f t="shared" si="10"/>
        <v>#VALUE!</v>
      </c>
      <c r="O40" s="6" t="e">
        <f t="shared" si="11"/>
        <v>#VALUE!</v>
      </c>
      <c r="P40" s="6">
        <f t="shared" si="12"/>
        <v>22</v>
      </c>
      <c r="Q40" s="6" t="e">
        <f t="shared" si="13"/>
        <v>#VALUE!</v>
      </c>
      <c r="R40" s="6" t="e">
        <f t="shared" si="14"/>
        <v>#VALUE!</v>
      </c>
      <c r="S40" s="6" t="e">
        <f>IF(A40="","",IF('Portfolio Input'!U40&lt;=0.02,30,MIN(50,MAX(5,(1/('Portfolio Input'!U40-0.02))*(1-((1.02)/(1+'Portfolio Input'!U40))^P40)+((1.02)/(1+'Portfolio Input'!U40))^P40*(1/('Portfolio Input'!U40-0.02))))))</f>
        <v>#VALUE!</v>
      </c>
      <c r="T40" s="6" t="e">
        <f>IF(A40="","",IF(('Portfolio Input'!U40+R40/10000)&lt;=0.02,30,MIN(50,MAX(5,(1/(('Portfolio Input'!U40+R40/10000)-0.02))*(1-((1.02)/(1+('Portfolio Input'!U40+R40/10000)))^Q40)+((1.02)/(1+('Portfolio Input'!U40+R40/10000)))^Q40*(1/(('Portfolio Input'!U40+R40/10000)-0.02))))))</f>
        <v>#VALUE!</v>
      </c>
      <c r="U40" s="6" t="e">
        <f t="shared" si="15"/>
        <v>#VALUE!</v>
      </c>
    </row>
    <row r="41" spans="1:21" ht="15" customHeight="1" x14ac:dyDescent="0.25">
      <c r="A41" s="7">
        <f>'Portfolio Input'!A41</f>
        <v>0</v>
      </c>
      <c r="B41" s="8" t="str">
        <f>IF('Portfolio Input'!C41="","",IFERROR(VLOOKUP('Portfolio Input'!C41,'Sector Analysis'!$A$4:$O$15,2,FALSE()),""))</f>
        <v/>
      </c>
      <c r="C41" s="8" t="str">
        <f>IF('Portfolio Input'!C41="","",IFERROR(VLOOKUP('Portfolio Input'!C41,'Sector Analysis'!$A$4:$O$15,3,FALSE()),""))</f>
        <v/>
      </c>
      <c r="D41" s="8" t="str">
        <f>IF('Portfolio Input'!C41="","",IFERROR(VLOOKUP('Portfolio Input'!C41,'Sector Analysis'!$A$4:$O$15,4,FALSE()),""))</f>
        <v/>
      </c>
      <c r="E41" s="8" t="str">
        <f>IF('Portfolio Input'!C41="","",IFERROR(VLOOKUP('Portfolio Input'!C41,'Sector Analysis'!$A$4:$O$15,5,FALSE()),""))</f>
        <v/>
      </c>
      <c r="F41" s="8" t="str">
        <f>IF('Portfolio Input'!C41="","",IFERROR(VLOOKUP('Portfolio Input'!C41,'Sector Analysis'!$A$4:$O$15,6,FALSE()),""))</f>
        <v/>
      </c>
      <c r="G41" s="6" t="str">
        <f t="shared" si="8"/>
        <v/>
      </c>
      <c r="H41" s="8" t="str">
        <f>IF('Portfolio Input'!C41="","",IFERROR(VLOOKUP('Portfolio Input'!C41,'Sector Analysis'!$A$4:$O$15,8,FALSE()),""))</f>
        <v/>
      </c>
      <c r="I41" s="8" t="str">
        <f>IF('Portfolio Input'!C41="","",IFERROR(VLOOKUP('Portfolio Input'!C41,'Sector Analysis'!$A$4:$O$15,9,FALSE()),""))</f>
        <v/>
      </c>
      <c r="J41" s="8" t="str">
        <f>IF('Portfolio Input'!C41="","",IFERROR(VLOOKUP('Portfolio Input'!C41,'Sector Analysis'!$A$4:$O$15,10,FALSE()),""))</f>
        <v/>
      </c>
      <c r="K41" s="8" t="str">
        <f>IF('Portfolio Input'!C41="","",IFERROR(VLOOKUP('Portfolio Input'!C41,'Sector Analysis'!$A$4:$O$15,11,FALSE()),""))</f>
        <v/>
      </c>
      <c r="L41" s="8" t="str">
        <f>IF('Portfolio Input'!C41="","",IFERROR(VLOOKUP('Portfolio Input'!C41,'Sector Analysis'!$A$4:$O$15,12,FALSE()),""))</f>
        <v/>
      </c>
      <c r="M41" s="6" t="e">
        <f t="shared" si="9"/>
        <v>#VALUE!</v>
      </c>
      <c r="N41" s="6" t="e">
        <f t="shared" si="10"/>
        <v>#VALUE!</v>
      </c>
      <c r="O41" s="6" t="e">
        <f t="shared" si="11"/>
        <v>#VALUE!</v>
      </c>
      <c r="P41" s="6">
        <f t="shared" si="12"/>
        <v>22</v>
      </c>
      <c r="Q41" s="6" t="e">
        <f t="shared" si="13"/>
        <v>#VALUE!</v>
      </c>
      <c r="R41" s="6" t="e">
        <f t="shared" si="14"/>
        <v>#VALUE!</v>
      </c>
      <c r="S41" s="6" t="e">
        <f>IF(A41="","",IF('Portfolio Input'!U41&lt;=0.02,30,MIN(50,MAX(5,(1/('Portfolio Input'!U41-0.02))*(1-((1.02)/(1+'Portfolio Input'!U41))^P41)+((1.02)/(1+'Portfolio Input'!U41))^P41*(1/('Portfolio Input'!U41-0.02))))))</f>
        <v>#VALUE!</v>
      </c>
      <c r="T41" s="6" t="e">
        <f>IF(A41="","",IF(('Portfolio Input'!U41+R41/10000)&lt;=0.02,30,MIN(50,MAX(5,(1/(('Portfolio Input'!U41+R41/10000)-0.02))*(1-((1.02)/(1+('Portfolio Input'!U41+R41/10000)))^Q41)+((1.02)/(1+('Portfolio Input'!U41+R41/10000)))^Q41*(1/(('Portfolio Input'!U41+R41/10000)-0.02))))))</f>
        <v>#VALUE!</v>
      </c>
      <c r="U41" s="6" t="e">
        <f t="shared" si="15"/>
        <v>#VALUE!</v>
      </c>
    </row>
    <row r="42" spans="1:21" ht="15" customHeight="1" x14ac:dyDescent="0.25">
      <c r="A42" s="7">
        <f>'Portfolio Input'!A42</f>
        <v>0</v>
      </c>
      <c r="B42" s="8" t="str">
        <f>IF('Portfolio Input'!C42="","",IFERROR(VLOOKUP('Portfolio Input'!C42,'Sector Analysis'!$A$4:$O$15,2,FALSE()),""))</f>
        <v/>
      </c>
      <c r="C42" s="8" t="str">
        <f>IF('Portfolio Input'!C42="","",IFERROR(VLOOKUP('Portfolio Input'!C42,'Sector Analysis'!$A$4:$O$15,3,FALSE()),""))</f>
        <v/>
      </c>
      <c r="D42" s="8" t="str">
        <f>IF('Portfolio Input'!C42="","",IFERROR(VLOOKUP('Portfolio Input'!C42,'Sector Analysis'!$A$4:$O$15,4,FALSE()),""))</f>
        <v/>
      </c>
      <c r="E42" s="8" t="str">
        <f>IF('Portfolio Input'!C42="","",IFERROR(VLOOKUP('Portfolio Input'!C42,'Sector Analysis'!$A$4:$O$15,5,FALSE()),""))</f>
        <v/>
      </c>
      <c r="F42" s="8" t="str">
        <f>IF('Portfolio Input'!C42="","",IFERROR(VLOOKUP('Portfolio Input'!C42,'Sector Analysis'!$A$4:$O$15,6,FALSE()),""))</f>
        <v/>
      </c>
      <c r="G42" s="6" t="str">
        <f t="shared" si="8"/>
        <v/>
      </c>
      <c r="H42" s="8" t="str">
        <f>IF('Portfolio Input'!C42="","",IFERROR(VLOOKUP('Portfolio Input'!C42,'Sector Analysis'!$A$4:$O$15,8,FALSE()),""))</f>
        <v/>
      </c>
      <c r="I42" s="8" t="str">
        <f>IF('Portfolio Input'!C42="","",IFERROR(VLOOKUP('Portfolio Input'!C42,'Sector Analysis'!$A$4:$O$15,9,FALSE()),""))</f>
        <v/>
      </c>
      <c r="J42" s="8" t="str">
        <f>IF('Portfolio Input'!C42="","",IFERROR(VLOOKUP('Portfolio Input'!C42,'Sector Analysis'!$A$4:$O$15,10,FALSE()),""))</f>
        <v/>
      </c>
      <c r="K42" s="8" t="str">
        <f>IF('Portfolio Input'!C42="","",IFERROR(VLOOKUP('Portfolio Input'!C42,'Sector Analysis'!$A$4:$O$15,11,FALSE()),""))</f>
        <v/>
      </c>
      <c r="L42" s="8" t="str">
        <f>IF('Portfolio Input'!C42="","",IFERROR(VLOOKUP('Portfolio Input'!C42,'Sector Analysis'!$A$4:$O$15,12,FALSE()),""))</f>
        <v/>
      </c>
      <c r="M42" s="6" t="e">
        <f t="shared" si="9"/>
        <v>#VALUE!</v>
      </c>
      <c r="N42" s="6" t="e">
        <f t="shared" si="10"/>
        <v>#VALUE!</v>
      </c>
      <c r="O42" s="6" t="e">
        <f t="shared" si="11"/>
        <v>#VALUE!</v>
      </c>
      <c r="P42" s="6">
        <f t="shared" si="12"/>
        <v>22</v>
      </c>
      <c r="Q42" s="6" t="e">
        <f t="shared" si="13"/>
        <v>#VALUE!</v>
      </c>
      <c r="R42" s="6" t="e">
        <f t="shared" si="14"/>
        <v>#VALUE!</v>
      </c>
      <c r="S42" s="6" t="e">
        <f>IF(A42="","",IF('Portfolio Input'!U42&lt;=0.02,30,MIN(50,MAX(5,(1/('Portfolio Input'!U42-0.02))*(1-((1.02)/(1+'Portfolio Input'!U42))^P42)+((1.02)/(1+'Portfolio Input'!U42))^P42*(1/('Portfolio Input'!U42-0.02))))))</f>
        <v>#VALUE!</v>
      </c>
      <c r="T42" s="6" t="e">
        <f>IF(A42="","",IF(('Portfolio Input'!U42+R42/10000)&lt;=0.02,30,MIN(50,MAX(5,(1/(('Portfolio Input'!U42+R42/10000)-0.02))*(1-((1.02)/(1+('Portfolio Input'!U42+R42/10000)))^Q42)+((1.02)/(1+('Portfolio Input'!U42+R42/10000)))^Q42*(1/(('Portfolio Input'!U42+R42/10000)-0.02))))))</f>
        <v>#VALUE!</v>
      </c>
      <c r="U42" s="6" t="e">
        <f t="shared" si="15"/>
        <v>#VALUE!</v>
      </c>
    </row>
    <row r="43" spans="1:21" ht="15" customHeight="1" x14ac:dyDescent="0.25">
      <c r="A43" s="7">
        <f>'Portfolio Input'!A43</f>
        <v>0</v>
      </c>
      <c r="B43" s="8" t="str">
        <f>IF('Portfolio Input'!C43="","",IFERROR(VLOOKUP('Portfolio Input'!C43,'Sector Analysis'!$A$4:$O$15,2,FALSE()),""))</f>
        <v/>
      </c>
      <c r="C43" s="8" t="str">
        <f>IF('Portfolio Input'!C43="","",IFERROR(VLOOKUP('Portfolio Input'!C43,'Sector Analysis'!$A$4:$O$15,3,FALSE()),""))</f>
        <v/>
      </c>
      <c r="D43" s="8" t="str">
        <f>IF('Portfolio Input'!C43="","",IFERROR(VLOOKUP('Portfolio Input'!C43,'Sector Analysis'!$A$4:$O$15,4,FALSE()),""))</f>
        <v/>
      </c>
      <c r="E43" s="8" t="str">
        <f>IF('Portfolio Input'!C43="","",IFERROR(VLOOKUP('Portfolio Input'!C43,'Sector Analysis'!$A$4:$O$15,5,FALSE()),""))</f>
        <v/>
      </c>
      <c r="F43" s="8" t="str">
        <f>IF('Portfolio Input'!C43="","",IFERROR(VLOOKUP('Portfolio Input'!C43,'Sector Analysis'!$A$4:$O$15,6,FALSE()),""))</f>
        <v/>
      </c>
      <c r="G43" s="6" t="str">
        <f t="shared" si="8"/>
        <v/>
      </c>
      <c r="H43" s="8" t="str">
        <f>IF('Portfolio Input'!C43="","",IFERROR(VLOOKUP('Portfolio Input'!C43,'Sector Analysis'!$A$4:$O$15,8,FALSE()),""))</f>
        <v/>
      </c>
      <c r="I43" s="8" t="str">
        <f>IF('Portfolio Input'!C43="","",IFERROR(VLOOKUP('Portfolio Input'!C43,'Sector Analysis'!$A$4:$O$15,9,FALSE()),""))</f>
        <v/>
      </c>
      <c r="J43" s="8" t="str">
        <f>IF('Portfolio Input'!C43="","",IFERROR(VLOOKUP('Portfolio Input'!C43,'Sector Analysis'!$A$4:$O$15,10,FALSE()),""))</f>
        <v/>
      </c>
      <c r="K43" s="8" t="str">
        <f>IF('Portfolio Input'!C43="","",IFERROR(VLOOKUP('Portfolio Input'!C43,'Sector Analysis'!$A$4:$O$15,11,FALSE()),""))</f>
        <v/>
      </c>
      <c r="L43" s="8" t="str">
        <f>IF('Portfolio Input'!C43="","",IFERROR(VLOOKUP('Portfolio Input'!C43,'Sector Analysis'!$A$4:$O$15,12,FALSE()),""))</f>
        <v/>
      </c>
      <c r="M43" s="6" t="e">
        <f t="shared" si="9"/>
        <v>#VALUE!</v>
      </c>
      <c r="N43" s="6" t="e">
        <f t="shared" si="10"/>
        <v>#VALUE!</v>
      </c>
      <c r="O43" s="6" t="e">
        <f t="shared" si="11"/>
        <v>#VALUE!</v>
      </c>
      <c r="P43" s="6">
        <f t="shared" si="12"/>
        <v>22</v>
      </c>
      <c r="Q43" s="6" t="e">
        <f t="shared" si="13"/>
        <v>#VALUE!</v>
      </c>
      <c r="R43" s="6" t="e">
        <f t="shared" si="14"/>
        <v>#VALUE!</v>
      </c>
      <c r="S43" s="6" t="e">
        <f>IF(A43="","",IF('Portfolio Input'!U43&lt;=0.02,30,MIN(50,MAX(5,(1/('Portfolio Input'!U43-0.02))*(1-((1.02)/(1+'Portfolio Input'!U43))^P43)+((1.02)/(1+'Portfolio Input'!U43))^P43*(1/('Portfolio Input'!U43-0.02))))))</f>
        <v>#VALUE!</v>
      </c>
      <c r="T43" s="6" t="e">
        <f>IF(A43="","",IF(('Portfolio Input'!U43+R43/10000)&lt;=0.02,30,MIN(50,MAX(5,(1/(('Portfolio Input'!U43+R43/10000)-0.02))*(1-((1.02)/(1+('Portfolio Input'!U43+R43/10000)))^Q43)+((1.02)/(1+('Portfolio Input'!U43+R43/10000)))^Q43*(1/(('Portfolio Input'!U43+R43/10000)-0.02))))))</f>
        <v>#VALUE!</v>
      </c>
      <c r="U43" s="6" t="e">
        <f t="shared" si="15"/>
        <v>#VALUE!</v>
      </c>
    </row>
    <row r="44" spans="1:21" ht="15" customHeight="1" x14ac:dyDescent="0.25">
      <c r="A44" s="7">
        <f>'Portfolio Input'!A44</f>
        <v>0</v>
      </c>
      <c r="B44" s="8" t="str">
        <f>IF('Portfolio Input'!C44="","",IFERROR(VLOOKUP('Portfolio Input'!C44,'Sector Analysis'!$A$4:$O$15,2,FALSE()),""))</f>
        <v/>
      </c>
      <c r="C44" s="8" t="str">
        <f>IF('Portfolio Input'!C44="","",IFERROR(VLOOKUP('Portfolio Input'!C44,'Sector Analysis'!$A$4:$O$15,3,FALSE()),""))</f>
        <v/>
      </c>
      <c r="D44" s="8" t="str">
        <f>IF('Portfolio Input'!C44="","",IFERROR(VLOOKUP('Portfolio Input'!C44,'Sector Analysis'!$A$4:$O$15,4,FALSE()),""))</f>
        <v/>
      </c>
      <c r="E44" s="8" t="str">
        <f>IF('Portfolio Input'!C44="","",IFERROR(VLOOKUP('Portfolio Input'!C44,'Sector Analysis'!$A$4:$O$15,5,FALSE()),""))</f>
        <v/>
      </c>
      <c r="F44" s="8" t="str">
        <f>IF('Portfolio Input'!C44="","",IFERROR(VLOOKUP('Portfolio Input'!C44,'Sector Analysis'!$A$4:$O$15,6,FALSE()),""))</f>
        <v/>
      </c>
      <c r="G44" s="6" t="str">
        <f t="shared" si="8"/>
        <v/>
      </c>
      <c r="H44" s="8" t="str">
        <f>IF('Portfolio Input'!C44="","",IFERROR(VLOOKUP('Portfolio Input'!C44,'Sector Analysis'!$A$4:$O$15,8,FALSE()),""))</f>
        <v/>
      </c>
      <c r="I44" s="8" t="str">
        <f>IF('Portfolio Input'!C44="","",IFERROR(VLOOKUP('Portfolio Input'!C44,'Sector Analysis'!$A$4:$O$15,9,FALSE()),""))</f>
        <v/>
      </c>
      <c r="J44" s="8" t="str">
        <f>IF('Portfolio Input'!C44="","",IFERROR(VLOOKUP('Portfolio Input'!C44,'Sector Analysis'!$A$4:$O$15,10,FALSE()),""))</f>
        <v/>
      </c>
      <c r="K44" s="8" t="str">
        <f>IF('Portfolio Input'!C44="","",IFERROR(VLOOKUP('Portfolio Input'!C44,'Sector Analysis'!$A$4:$O$15,11,FALSE()),""))</f>
        <v/>
      </c>
      <c r="L44" s="8" t="str">
        <f>IF('Portfolio Input'!C44="","",IFERROR(VLOOKUP('Portfolio Input'!C44,'Sector Analysis'!$A$4:$O$15,12,FALSE()),""))</f>
        <v/>
      </c>
      <c r="M44" s="6" t="e">
        <f t="shared" si="9"/>
        <v>#VALUE!</v>
      </c>
      <c r="N44" s="6" t="e">
        <f t="shared" si="10"/>
        <v>#VALUE!</v>
      </c>
      <c r="O44" s="6" t="e">
        <f t="shared" si="11"/>
        <v>#VALUE!</v>
      </c>
      <c r="P44" s="6">
        <f t="shared" si="12"/>
        <v>22</v>
      </c>
      <c r="Q44" s="6" t="e">
        <f t="shared" si="13"/>
        <v>#VALUE!</v>
      </c>
      <c r="R44" s="6" t="e">
        <f t="shared" si="14"/>
        <v>#VALUE!</v>
      </c>
      <c r="S44" s="6" t="e">
        <f>IF(A44="","",IF('Portfolio Input'!U44&lt;=0.02,30,MIN(50,MAX(5,(1/('Portfolio Input'!U44-0.02))*(1-((1.02)/(1+'Portfolio Input'!U44))^P44)+((1.02)/(1+'Portfolio Input'!U44))^P44*(1/('Portfolio Input'!U44-0.02))))))</f>
        <v>#VALUE!</v>
      </c>
      <c r="T44" s="6" t="e">
        <f>IF(A44="","",IF(('Portfolio Input'!U44+R44/10000)&lt;=0.02,30,MIN(50,MAX(5,(1/(('Portfolio Input'!U44+R44/10000)-0.02))*(1-((1.02)/(1+('Portfolio Input'!U44+R44/10000)))^Q44)+((1.02)/(1+('Portfolio Input'!U44+R44/10000)))^Q44*(1/(('Portfolio Input'!U44+R44/10000)-0.02))))))</f>
        <v>#VALUE!</v>
      </c>
      <c r="U44" s="6" t="e">
        <f t="shared" si="15"/>
        <v>#VALUE!</v>
      </c>
    </row>
    <row r="45" spans="1:21" ht="15" customHeight="1" x14ac:dyDescent="0.25">
      <c r="A45" s="7">
        <f>'Portfolio Input'!A45</f>
        <v>0</v>
      </c>
      <c r="B45" s="8" t="str">
        <f>IF('Portfolio Input'!C45="","",IFERROR(VLOOKUP('Portfolio Input'!C45,'Sector Analysis'!$A$4:$O$15,2,FALSE()),""))</f>
        <v/>
      </c>
      <c r="C45" s="8" t="str">
        <f>IF('Portfolio Input'!C45="","",IFERROR(VLOOKUP('Portfolio Input'!C45,'Sector Analysis'!$A$4:$O$15,3,FALSE()),""))</f>
        <v/>
      </c>
      <c r="D45" s="8" t="str">
        <f>IF('Portfolio Input'!C45="","",IFERROR(VLOOKUP('Portfolio Input'!C45,'Sector Analysis'!$A$4:$O$15,4,FALSE()),""))</f>
        <v/>
      </c>
      <c r="E45" s="8" t="str">
        <f>IF('Portfolio Input'!C45="","",IFERROR(VLOOKUP('Portfolio Input'!C45,'Sector Analysis'!$A$4:$O$15,5,FALSE()),""))</f>
        <v/>
      </c>
      <c r="F45" s="8" t="str">
        <f>IF('Portfolio Input'!C45="","",IFERROR(VLOOKUP('Portfolio Input'!C45,'Sector Analysis'!$A$4:$O$15,6,FALSE()),""))</f>
        <v/>
      </c>
      <c r="G45" s="6" t="str">
        <f t="shared" si="8"/>
        <v/>
      </c>
      <c r="H45" s="8" t="str">
        <f>IF('Portfolio Input'!C45="","",IFERROR(VLOOKUP('Portfolio Input'!C45,'Sector Analysis'!$A$4:$O$15,8,FALSE()),""))</f>
        <v/>
      </c>
      <c r="I45" s="8" t="str">
        <f>IF('Portfolio Input'!C45="","",IFERROR(VLOOKUP('Portfolio Input'!C45,'Sector Analysis'!$A$4:$O$15,9,FALSE()),""))</f>
        <v/>
      </c>
      <c r="J45" s="8" t="str">
        <f>IF('Portfolio Input'!C45="","",IFERROR(VLOOKUP('Portfolio Input'!C45,'Sector Analysis'!$A$4:$O$15,10,FALSE()),""))</f>
        <v/>
      </c>
      <c r="K45" s="8" t="str">
        <f>IF('Portfolio Input'!C45="","",IFERROR(VLOOKUP('Portfolio Input'!C45,'Sector Analysis'!$A$4:$O$15,11,FALSE()),""))</f>
        <v/>
      </c>
      <c r="L45" s="8" t="str">
        <f>IF('Portfolio Input'!C45="","",IFERROR(VLOOKUP('Portfolio Input'!C45,'Sector Analysis'!$A$4:$O$15,12,FALSE()),""))</f>
        <v/>
      </c>
      <c r="M45" s="6" t="e">
        <f t="shared" si="9"/>
        <v>#VALUE!</v>
      </c>
      <c r="N45" s="6" t="e">
        <f t="shared" si="10"/>
        <v>#VALUE!</v>
      </c>
      <c r="O45" s="6" t="e">
        <f t="shared" si="11"/>
        <v>#VALUE!</v>
      </c>
      <c r="P45" s="6">
        <f t="shared" si="12"/>
        <v>22</v>
      </c>
      <c r="Q45" s="6" t="e">
        <f t="shared" si="13"/>
        <v>#VALUE!</v>
      </c>
      <c r="R45" s="6" t="e">
        <f t="shared" si="14"/>
        <v>#VALUE!</v>
      </c>
      <c r="S45" s="6" t="e">
        <f>IF(A45="","",IF('Portfolio Input'!U45&lt;=0.02,30,MIN(50,MAX(5,(1/('Portfolio Input'!U45-0.02))*(1-((1.02)/(1+'Portfolio Input'!U45))^P45)+((1.02)/(1+'Portfolio Input'!U45))^P45*(1/('Portfolio Input'!U45-0.02))))))</f>
        <v>#VALUE!</v>
      </c>
      <c r="T45" s="6" t="e">
        <f>IF(A45="","",IF(('Portfolio Input'!U45+R45/10000)&lt;=0.02,30,MIN(50,MAX(5,(1/(('Portfolio Input'!U45+R45/10000)-0.02))*(1-((1.02)/(1+('Portfolio Input'!U45+R45/10000)))^Q45)+((1.02)/(1+('Portfolio Input'!U45+R45/10000)))^Q45*(1/(('Portfolio Input'!U45+R45/10000)-0.02))))))</f>
        <v>#VALUE!</v>
      </c>
      <c r="U45" s="6" t="e">
        <f t="shared" si="15"/>
        <v>#VALUE!</v>
      </c>
    </row>
    <row r="46" spans="1:21" ht="15" customHeight="1" x14ac:dyDescent="0.25">
      <c r="A46" s="7">
        <f>'Portfolio Input'!A46</f>
        <v>0</v>
      </c>
      <c r="B46" s="8" t="str">
        <f>IF('Portfolio Input'!C46="","",IFERROR(VLOOKUP('Portfolio Input'!C46,'Sector Analysis'!$A$4:$O$15,2,FALSE()),""))</f>
        <v/>
      </c>
      <c r="C46" s="8" t="str">
        <f>IF('Portfolio Input'!C46="","",IFERROR(VLOOKUP('Portfolio Input'!C46,'Sector Analysis'!$A$4:$O$15,3,FALSE()),""))</f>
        <v/>
      </c>
      <c r="D46" s="8" t="str">
        <f>IF('Portfolio Input'!C46="","",IFERROR(VLOOKUP('Portfolio Input'!C46,'Sector Analysis'!$A$4:$O$15,4,FALSE()),""))</f>
        <v/>
      </c>
      <c r="E46" s="8" t="str">
        <f>IF('Portfolio Input'!C46="","",IFERROR(VLOOKUP('Portfolio Input'!C46,'Sector Analysis'!$A$4:$O$15,5,FALSE()),""))</f>
        <v/>
      </c>
      <c r="F46" s="8" t="str">
        <f>IF('Portfolio Input'!C46="","",IFERROR(VLOOKUP('Portfolio Input'!C46,'Sector Analysis'!$A$4:$O$15,6,FALSE()),""))</f>
        <v/>
      </c>
      <c r="G46" s="6" t="str">
        <f t="shared" si="8"/>
        <v/>
      </c>
      <c r="H46" s="8" t="str">
        <f>IF('Portfolio Input'!C46="","",IFERROR(VLOOKUP('Portfolio Input'!C46,'Sector Analysis'!$A$4:$O$15,8,FALSE()),""))</f>
        <v/>
      </c>
      <c r="I46" s="8" t="str">
        <f>IF('Portfolio Input'!C46="","",IFERROR(VLOOKUP('Portfolio Input'!C46,'Sector Analysis'!$A$4:$O$15,9,FALSE()),""))</f>
        <v/>
      </c>
      <c r="J46" s="8" t="str">
        <f>IF('Portfolio Input'!C46="","",IFERROR(VLOOKUP('Portfolio Input'!C46,'Sector Analysis'!$A$4:$O$15,10,FALSE()),""))</f>
        <v/>
      </c>
      <c r="K46" s="8" t="str">
        <f>IF('Portfolio Input'!C46="","",IFERROR(VLOOKUP('Portfolio Input'!C46,'Sector Analysis'!$A$4:$O$15,11,FALSE()),""))</f>
        <v/>
      </c>
      <c r="L46" s="8" t="str">
        <f>IF('Portfolio Input'!C46="","",IFERROR(VLOOKUP('Portfolio Input'!C46,'Sector Analysis'!$A$4:$O$15,12,FALSE()),""))</f>
        <v/>
      </c>
      <c r="M46" s="6" t="e">
        <f t="shared" si="9"/>
        <v>#VALUE!</v>
      </c>
      <c r="N46" s="6" t="e">
        <f t="shared" si="10"/>
        <v>#VALUE!</v>
      </c>
      <c r="O46" s="6" t="e">
        <f t="shared" si="11"/>
        <v>#VALUE!</v>
      </c>
      <c r="P46" s="6">
        <f t="shared" si="12"/>
        <v>22</v>
      </c>
      <c r="Q46" s="6" t="e">
        <f t="shared" si="13"/>
        <v>#VALUE!</v>
      </c>
      <c r="R46" s="6" t="e">
        <f t="shared" si="14"/>
        <v>#VALUE!</v>
      </c>
      <c r="S46" s="6" t="e">
        <f>IF(A46="","",IF('Portfolio Input'!U46&lt;=0.02,30,MIN(50,MAX(5,(1/('Portfolio Input'!U46-0.02))*(1-((1.02)/(1+'Portfolio Input'!U46))^P46)+((1.02)/(1+'Portfolio Input'!U46))^P46*(1/('Portfolio Input'!U46-0.02))))))</f>
        <v>#VALUE!</v>
      </c>
      <c r="T46" s="6" t="e">
        <f>IF(A46="","",IF(('Portfolio Input'!U46+R46/10000)&lt;=0.02,30,MIN(50,MAX(5,(1/(('Portfolio Input'!U46+R46/10000)-0.02))*(1-((1.02)/(1+('Portfolio Input'!U46+R46/10000)))^Q46)+((1.02)/(1+('Portfolio Input'!U46+R46/10000)))^Q46*(1/(('Portfolio Input'!U46+R46/10000)-0.02))))))</f>
        <v>#VALUE!</v>
      </c>
      <c r="U46" s="6" t="e">
        <f t="shared" si="15"/>
        <v>#VALUE!</v>
      </c>
    </row>
    <row r="47" spans="1:21" ht="15" customHeight="1" x14ac:dyDescent="0.25">
      <c r="A47" s="7">
        <f>'Portfolio Input'!A47</f>
        <v>0</v>
      </c>
      <c r="B47" s="8" t="str">
        <f>IF('Portfolio Input'!C47="","",IFERROR(VLOOKUP('Portfolio Input'!C47,'Sector Analysis'!$A$4:$O$15,2,FALSE()),""))</f>
        <v/>
      </c>
      <c r="C47" s="8" t="str">
        <f>IF('Portfolio Input'!C47="","",IFERROR(VLOOKUP('Portfolio Input'!C47,'Sector Analysis'!$A$4:$O$15,3,FALSE()),""))</f>
        <v/>
      </c>
      <c r="D47" s="8" t="str">
        <f>IF('Portfolio Input'!C47="","",IFERROR(VLOOKUP('Portfolio Input'!C47,'Sector Analysis'!$A$4:$O$15,4,FALSE()),""))</f>
        <v/>
      </c>
      <c r="E47" s="8" t="str">
        <f>IF('Portfolio Input'!C47="","",IFERROR(VLOOKUP('Portfolio Input'!C47,'Sector Analysis'!$A$4:$O$15,5,FALSE()),""))</f>
        <v/>
      </c>
      <c r="F47" s="8" t="str">
        <f>IF('Portfolio Input'!C47="","",IFERROR(VLOOKUP('Portfolio Input'!C47,'Sector Analysis'!$A$4:$O$15,6,FALSE()),""))</f>
        <v/>
      </c>
      <c r="G47" s="6" t="str">
        <f t="shared" si="8"/>
        <v/>
      </c>
      <c r="H47" s="8" t="str">
        <f>IF('Portfolio Input'!C47="","",IFERROR(VLOOKUP('Portfolio Input'!C47,'Sector Analysis'!$A$4:$O$15,8,FALSE()),""))</f>
        <v/>
      </c>
      <c r="I47" s="8" t="str">
        <f>IF('Portfolio Input'!C47="","",IFERROR(VLOOKUP('Portfolio Input'!C47,'Sector Analysis'!$A$4:$O$15,9,FALSE()),""))</f>
        <v/>
      </c>
      <c r="J47" s="8" t="str">
        <f>IF('Portfolio Input'!C47="","",IFERROR(VLOOKUP('Portfolio Input'!C47,'Sector Analysis'!$A$4:$O$15,10,FALSE()),""))</f>
        <v/>
      </c>
      <c r="K47" s="8" t="str">
        <f>IF('Portfolio Input'!C47="","",IFERROR(VLOOKUP('Portfolio Input'!C47,'Sector Analysis'!$A$4:$O$15,11,FALSE()),""))</f>
        <v/>
      </c>
      <c r="L47" s="8" t="str">
        <f>IF('Portfolio Input'!C47="","",IFERROR(VLOOKUP('Portfolio Input'!C47,'Sector Analysis'!$A$4:$O$15,12,FALSE()),""))</f>
        <v/>
      </c>
      <c r="M47" s="6" t="e">
        <f t="shared" si="9"/>
        <v>#VALUE!</v>
      </c>
      <c r="N47" s="6" t="e">
        <f t="shared" si="10"/>
        <v>#VALUE!</v>
      </c>
      <c r="O47" s="6" t="e">
        <f t="shared" si="11"/>
        <v>#VALUE!</v>
      </c>
      <c r="P47" s="6">
        <f t="shared" si="12"/>
        <v>22</v>
      </c>
      <c r="Q47" s="6" t="e">
        <f t="shared" si="13"/>
        <v>#VALUE!</v>
      </c>
      <c r="R47" s="6" t="e">
        <f t="shared" si="14"/>
        <v>#VALUE!</v>
      </c>
      <c r="S47" s="6" t="e">
        <f>IF(A47="","",IF('Portfolio Input'!U47&lt;=0.02,30,MIN(50,MAX(5,(1/('Portfolio Input'!U47-0.02))*(1-((1.02)/(1+'Portfolio Input'!U47))^P47)+((1.02)/(1+'Portfolio Input'!U47))^P47*(1/('Portfolio Input'!U47-0.02))))))</f>
        <v>#VALUE!</v>
      </c>
      <c r="T47" s="6" t="e">
        <f>IF(A47="","",IF(('Portfolio Input'!U47+R47/10000)&lt;=0.02,30,MIN(50,MAX(5,(1/(('Portfolio Input'!U47+R47/10000)-0.02))*(1-((1.02)/(1+('Portfolio Input'!U47+R47/10000)))^Q47)+((1.02)/(1+('Portfolio Input'!U47+R47/10000)))^Q47*(1/(('Portfolio Input'!U47+R47/10000)-0.02))))))</f>
        <v>#VALUE!</v>
      </c>
      <c r="U47" s="6" t="e">
        <f t="shared" si="15"/>
        <v>#VALUE!</v>
      </c>
    </row>
    <row r="48" spans="1:21" ht="15" customHeight="1" x14ac:dyDescent="0.25">
      <c r="A48" s="7">
        <f>'Portfolio Input'!A48</f>
        <v>0</v>
      </c>
      <c r="B48" s="8" t="str">
        <f>IF('Portfolio Input'!C48="","",IFERROR(VLOOKUP('Portfolio Input'!C48,'Sector Analysis'!$A$4:$O$15,2,FALSE()),""))</f>
        <v/>
      </c>
      <c r="C48" s="8" t="str">
        <f>IF('Portfolio Input'!C48="","",IFERROR(VLOOKUP('Portfolio Input'!C48,'Sector Analysis'!$A$4:$O$15,3,FALSE()),""))</f>
        <v/>
      </c>
      <c r="D48" s="8" t="str">
        <f>IF('Portfolio Input'!C48="","",IFERROR(VLOOKUP('Portfolio Input'!C48,'Sector Analysis'!$A$4:$O$15,4,FALSE()),""))</f>
        <v/>
      </c>
      <c r="E48" s="8" t="str">
        <f>IF('Portfolio Input'!C48="","",IFERROR(VLOOKUP('Portfolio Input'!C48,'Sector Analysis'!$A$4:$O$15,5,FALSE()),""))</f>
        <v/>
      </c>
      <c r="F48" s="8" t="str">
        <f>IF('Portfolio Input'!C48="","",IFERROR(VLOOKUP('Portfolio Input'!C48,'Sector Analysis'!$A$4:$O$15,6,FALSE()),""))</f>
        <v/>
      </c>
      <c r="G48" s="6" t="str">
        <f t="shared" si="8"/>
        <v/>
      </c>
      <c r="H48" s="8" t="str">
        <f>IF('Portfolio Input'!C48="","",IFERROR(VLOOKUP('Portfolio Input'!C48,'Sector Analysis'!$A$4:$O$15,8,FALSE()),""))</f>
        <v/>
      </c>
      <c r="I48" s="8" t="str">
        <f>IF('Portfolio Input'!C48="","",IFERROR(VLOOKUP('Portfolio Input'!C48,'Sector Analysis'!$A$4:$O$15,9,FALSE()),""))</f>
        <v/>
      </c>
      <c r="J48" s="8" t="str">
        <f>IF('Portfolio Input'!C48="","",IFERROR(VLOOKUP('Portfolio Input'!C48,'Sector Analysis'!$A$4:$O$15,10,FALSE()),""))</f>
        <v/>
      </c>
      <c r="K48" s="8" t="str">
        <f>IF('Portfolio Input'!C48="","",IFERROR(VLOOKUP('Portfolio Input'!C48,'Sector Analysis'!$A$4:$O$15,11,FALSE()),""))</f>
        <v/>
      </c>
      <c r="L48" s="8" t="str">
        <f>IF('Portfolio Input'!C48="","",IFERROR(VLOOKUP('Portfolio Input'!C48,'Sector Analysis'!$A$4:$O$15,12,FALSE()),""))</f>
        <v/>
      </c>
      <c r="M48" s="6" t="e">
        <f t="shared" si="9"/>
        <v>#VALUE!</v>
      </c>
      <c r="N48" s="6" t="e">
        <f t="shared" si="10"/>
        <v>#VALUE!</v>
      </c>
      <c r="O48" s="6" t="e">
        <f t="shared" si="11"/>
        <v>#VALUE!</v>
      </c>
      <c r="P48" s="6">
        <f t="shared" si="12"/>
        <v>22</v>
      </c>
      <c r="Q48" s="6" t="e">
        <f t="shared" si="13"/>
        <v>#VALUE!</v>
      </c>
      <c r="R48" s="6" t="e">
        <f t="shared" si="14"/>
        <v>#VALUE!</v>
      </c>
      <c r="S48" s="6" t="e">
        <f>IF(A48="","",IF('Portfolio Input'!U48&lt;=0.02,30,MIN(50,MAX(5,(1/('Portfolio Input'!U48-0.02))*(1-((1.02)/(1+'Portfolio Input'!U48))^P48)+((1.02)/(1+'Portfolio Input'!U48))^P48*(1/('Portfolio Input'!U48-0.02))))))</f>
        <v>#VALUE!</v>
      </c>
      <c r="T48" s="6" t="e">
        <f>IF(A48="","",IF(('Portfolio Input'!U48+R48/10000)&lt;=0.02,30,MIN(50,MAX(5,(1/(('Portfolio Input'!U48+R48/10000)-0.02))*(1-((1.02)/(1+('Portfolio Input'!U48+R48/10000)))^Q48)+((1.02)/(1+('Portfolio Input'!U48+R48/10000)))^Q48*(1/(('Portfolio Input'!U48+R48/10000)-0.02))))))</f>
        <v>#VALUE!</v>
      </c>
      <c r="U48" s="6" t="e">
        <f t="shared" si="15"/>
        <v>#VALUE!</v>
      </c>
    </row>
    <row r="49" spans="1:21" ht="15" customHeight="1" x14ac:dyDescent="0.25">
      <c r="A49" s="7">
        <f>'Portfolio Input'!A49</f>
        <v>0</v>
      </c>
      <c r="B49" s="8" t="str">
        <f>IF('Portfolio Input'!C49="","",IFERROR(VLOOKUP('Portfolio Input'!C49,'Sector Analysis'!$A$4:$O$15,2,FALSE()),""))</f>
        <v/>
      </c>
      <c r="C49" s="8" t="str">
        <f>IF('Portfolio Input'!C49="","",IFERROR(VLOOKUP('Portfolio Input'!C49,'Sector Analysis'!$A$4:$O$15,3,FALSE()),""))</f>
        <v/>
      </c>
      <c r="D49" s="8" t="str">
        <f>IF('Portfolio Input'!C49="","",IFERROR(VLOOKUP('Portfolio Input'!C49,'Sector Analysis'!$A$4:$O$15,4,FALSE()),""))</f>
        <v/>
      </c>
      <c r="E49" s="8" t="str">
        <f>IF('Portfolio Input'!C49="","",IFERROR(VLOOKUP('Portfolio Input'!C49,'Sector Analysis'!$A$4:$O$15,5,FALSE()),""))</f>
        <v/>
      </c>
      <c r="F49" s="8" t="str">
        <f>IF('Portfolio Input'!C49="","",IFERROR(VLOOKUP('Portfolio Input'!C49,'Sector Analysis'!$A$4:$O$15,6,FALSE()),""))</f>
        <v/>
      </c>
      <c r="G49" s="6" t="str">
        <f t="shared" si="8"/>
        <v/>
      </c>
      <c r="H49" s="8" t="str">
        <f>IF('Portfolio Input'!C49="","",IFERROR(VLOOKUP('Portfolio Input'!C49,'Sector Analysis'!$A$4:$O$15,8,FALSE()),""))</f>
        <v/>
      </c>
      <c r="I49" s="8" t="str">
        <f>IF('Portfolio Input'!C49="","",IFERROR(VLOOKUP('Portfolio Input'!C49,'Sector Analysis'!$A$4:$O$15,9,FALSE()),""))</f>
        <v/>
      </c>
      <c r="J49" s="8" t="str">
        <f>IF('Portfolio Input'!C49="","",IFERROR(VLOOKUP('Portfolio Input'!C49,'Sector Analysis'!$A$4:$O$15,10,FALSE()),""))</f>
        <v/>
      </c>
      <c r="K49" s="8" t="str">
        <f>IF('Portfolio Input'!C49="","",IFERROR(VLOOKUP('Portfolio Input'!C49,'Sector Analysis'!$A$4:$O$15,11,FALSE()),""))</f>
        <v/>
      </c>
      <c r="L49" s="8" t="str">
        <f>IF('Portfolio Input'!C49="","",IFERROR(VLOOKUP('Portfolio Input'!C49,'Sector Analysis'!$A$4:$O$15,12,FALSE()),""))</f>
        <v/>
      </c>
      <c r="M49" s="6" t="e">
        <f t="shared" si="9"/>
        <v>#VALUE!</v>
      </c>
      <c r="N49" s="6" t="e">
        <f t="shared" si="10"/>
        <v>#VALUE!</v>
      </c>
      <c r="O49" s="6" t="e">
        <f t="shared" si="11"/>
        <v>#VALUE!</v>
      </c>
      <c r="P49" s="6">
        <f t="shared" si="12"/>
        <v>22</v>
      </c>
      <c r="Q49" s="6" t="e">
        <f t="shared" si="13"/>
        <v>#VALUE!</v>
      </c>
      <c r="R49" s="6" t="e">
        <f t="shared" si="14"/>
        <v>#VALUE!</v>
      </c>
      <c r="S49" s="6" t="e">
        <f>IF(A49="","",IF('Portfolio Input'!U49&lt;=0.02,30,MIN(50,MAX(5,(1/('Portfolio Input'!U49-0.02))*(1-((1.02)/(1+'Portfolio Input'!U49))^P49)+((1.02)/(1+'Portfolio Input'!U49))^P49*(1/('Portfolio Input'!U49-0.02))))))</f>
        <v>#VALUE!</v>
      </c>
      <c r="T49" s="6" t="e">
        <f>IF(A49="","",IF(('Portfolio Input'!U49+R49/10000)&lt;=0.02,30,MIN(50,MAX(5,(1/(('Portfolio Input'!U49+R49/10000)-0.02))*(1-((1.02)/(1+('Portfolio Input'!U49+R49/10000)))^Q49)+((1.02)/(1+('Portfolio Input'!U49+R49/10000)))^Q49*(1/(('Portfolio Input'!U49+R49/10000)-0.02))))))</f>
        <v>#VALUE!</v>
      </c>
      <c r="U49" s="6" t="e">
        <f t="shared" si="15"/>
        <v>#VALUE!</v>
      </c>
    </row>
    <row r="50" spans="1:21" ht="15" customHeight="1" x14ac:dyDescent="0.25">
      <c r="A50" s="7">
        <f>'Portfolio Input'!A50</f>
        <v>0</v>
      </c>
      <c r="B50" s="8" t="str">
        <f>IF('Portfolio Input'!C50="","",IFERROR(VLOOKUP('Portfolio Input'!C50,'Sector Analysis'!$A$4:$O$15,2,FALSE()),""))</f>
        <v/>
      </c>
      <c r="C50" s="8" t="str">
        <f>IF('Portfolio Input'!C50="","",IFERROR(VLOOKUP('Portfolio Input'!C50,'Sector Analysis'!$A$4:$O$15,3,FALSE()),""))</f>
        <v/>
      </c>
      <c r="D50" s="8" t="str">
        <f>IF('Portfolio Input'!C50="","",IFERROR(VLOOKUP('Portfolio Input'!C50,'Sector Analysis'!$A$4:$O$15,4,FALSE()),""))</f>
        <v/>
      </c>
      <c r="E50" s="8" t="str">
        <f>IF('Portfolio Input'!C50="","",IFERROR(VLOOKUP('Portfolio Input'!C50,'Sector Analysis'!$A$4:$O$15,5,FALSE()),""))</f>
        <v/>
      </c>
      <c r="F50" s="8" t="str">
        <f>IF('Portfolio Input'!C50="","",IFERROR(VLOOKUP('Portfolio Input'!C50,'Sector Analysis'!$A$4:$O$15,6,FALSE()),""))</f>
        <v/>
      </c>
      <c r="G50" s="6" t="str">
        <f t="shared" si="8"/>
        <v/>
      </c>
      <c r="H50" s="8" t="str">
        <f>IF('Portfolio Input'!C50="","",IFERROR(VLOOKUP('Portfolio Input'!C50,'Sector Analysis'!$A$4:$O$15,8,FALSE()),""))</f>
        <v/>
      </c>
      <c r="I50" s="8" t="str">
        <f>IF('Portfolio Input'!C50="","",IFERROR(VLOOKUP('Portfolio Input'!C50,'Sector Analysis'!$A$4:$O$15,9,FALSE()),""))</f>
        <v/>
      </c>
      <c r="J50" s="8" t="str">
        <f>IF('Portfolio Input'!C50="","",IFERROR(VLOOKUP('Portfolio Input'!C50,'Sector Analysis'!$A$4:$O$15,10,FALSE()),""))</f>
        <v/>
      </c>
      <c r="K50" s="8" t="str">
        <f>IF('Portfolio Input'!C50="","",IFERROR(VLOOKUP('Portfolio Input'!C50,'Sector Analysis'!$A$4:$O$15,11,FALSE()),""))</f>
        <v/>
      </c>
      <c r="L50" s="8" t="str">
        <f>IF('Portfolio Input'!C50="","",IFERROR(VLOOKUP('Portfolio Input'!C50,'Sector Analysis'!$A$4:$O$15,12,FALSE()),""))</f>
        <v/>
      </c>
      <c r="M50" s="6" t="e">
        <f t="shared" si="9"/>
        <v>#VALUE!</v>
      </c>
      <c r="N50" s="6" t="e">
        <f t="shared" si="10"/>
        <v>#VALUE!</v>
      </c>
      <c r="O50" s="6" t="e">
        <f t="shared" si="11"/>
        <v>#VALUE!</v>
      </c>
      <c r="P50" s="6">
        <f t="shared" si="12"/>
        <v>22</v>
      </c>
      <c r="Q50" s="6" t="e">
        <f t="shared" si="13"/>
        <v>#VALUE!</v>
      </c>
      <c r="R50" s="6" t="e">
        <f t="shared" si="14"/>
        <v>#VALUE!</v>
      </c>
      <c r="S50" s="6" t="e">
        <f>IF(A50="","",IF('Portfolio Input'!U50&lt;=0.02,30,MIN(50,MAX(5,(1/('Portfolio Input'!U50-0.02))*(1-((1.02)/(1+'Portfolio Input'!U50))^P50)+((1.02)/(1+'Portfolio Input'!U50))^P50*(1/('Portfolio Input'!U50-0.02))))))</f>
        <v>#VALUE!</v>
      </c>
      <c r="T50" s="6" t="e">
        <f>IF(A50="","",IF(('Portfolio Input'!U50+R50/10000)&lt;=0.02,30,MIN(50,MAX(5,(1/(('Portfolio Input'!U50+R50/10000)-0.02))*(1-((1.02)/(1+('Portfolio Input'!U50+R50/10000)))^Q50)+((1.02)/(1+('Portfolio Input'!U50+R50/10000)))^Q50*(1/(('Portfolio Input'!U50+R50/10000)-0.02))))))</f>
        <v>#VALUE!</v>
      </c>
      <c r="U50" s="6" t="e">
        <f t="shared" si="15"/>
        <v>#VALUE!</v>
      </c>
    </row>
    <row r="51" spans="1:21" ht="15" customHeight="1" x14ac:dyDescent="0.25">
      <c r="A51" s="7">
        <f>'Portfolio Input'!A51</f>
        <v>0</v>
      </c>
      <c r="B51" s="8" t="str">
        <f>IF('Portfolio Input'!C51="","",IFERROR(VLOOKUP('Portfolio Input'!C51,'Sector Analysis'!$A$4:$O$15,2,FALSE()),""))</f>
        <v/>
      </c>
      <c r="C51" s="8" t="str">
        <f>IF('Portfolio Input'!C51="","",IFERROR(VLOOKUP('Portfolio Input'!C51,'Sector Analysis'!$A$4:$O$15,3,FALSE()),""))</f>
        <v/>
      </c>
      <c r="D51" s="8" t="str">
        <f>IF('Portfolio Input'!C51="","",IFERROR(VLOOKUP('Portfolio Input'!C51,'Sector Analysis'!$A$4:$O$15,4,FALSE()),""))</f>
        <v/>
      </c>
      <c r="E51" s="8" t="str">
        <f>IF('Portfolio Input'!C51="","",IFERROR(VLOOKUP('Portfolio Input'!C51,'Sector Analysis'!$A$4:$O$15,5,FALSE()),""))</f>
        <v/>
      </c>
      <c r="F51" s="8" t="str">
        <f>IF('Portfolio Input'!C51="","",IFERROR(VLOOKUP('Portfolio Input'!C51,'Sector Analysis'!$A$4:$O$15,6,FALSE()),""))</f>
        <v/>
      </c>
      <c r="G51" s="6" t="str">
        <f t="shared" si="8"/>
        <v/>
      </c>
      <c r="H51" s="8" t="str">
        <f>IF('Portfolio Input'!C51="","",IFERROR(VLOOKUP('Portfolio Input'!C51,'Sector Analysis'!$A$4:$O$15,8,FALSE()),""))</f>
        <v/>
      </c>
      <c r="I51" s="8" t="str">
        <f>IF('Portfolio Input'!C51="","",IFERROR(VLOOKUP('Portfolio Input'!C51,'Sector Analysis'!$A$4:$O$15,9,FALSE()),""))</f>
        <v/>
      </c>
      <c r="J51" s="8" t="str">
        <f>IF('Portfolio Input'!C51="","",IFERROR(VLOOKUP('Portfolio Input'!C51,'Sector Analysis'!$A$4:$O$15,10,FALSE()),""))</f>
        <v/>
      </c>
      <c r="K51" s="8" t="str">
        <f>IF('Portfolio Input'!C51="","",IFERROR(VLOOKUP('Portfolio Input'!C51,'Sector Analysis'!$A$4:$O$15,11,FALSE()),""))</f>
        <v/>
      </c>
      <c r="L51" s="8" t="str">
        <f>IF('Portfolio Input'!C51="","",IFERROR(VLOOKUP('Portfolio Input'!C51,'Sector Analysis'!$A$4:$O$15,12,FALSE()),""))</f>
        <v/>
      </c>
      <c r="M51" s="6" t="e">
        <f t="shared" si="9"/>
        <v>#VALUE!</v>
      </c>
      <c r="N51" s="6" t="e">
        <f t="shared" si="10"/>
        <v>#VALUE!</v>
      </c>
      <c r="O51" s="6" t="e">
        <f t="shared" si="11"/>
        <v>#VALUE!</v>
      </c>
      <c r="P51" s="6">
        <f t="shared" si="12"/>
        <v>22</v>
      </c>
      <c r="Q51" s="6" t="e">
        <f t="shared" si="13"/>
        <v>#VALUE!</v>
      </c>
      <c r="R51" s="6" t="e">
        <f t="shared" si="14"/>
        <v>#VALUE!</v>
      </c>
      <c r="S51" s="6" t="e">
        <f>IF(A51="","",IF('Portfolio Input'!U51&lt;=0.02,30,MIN(50,MAX(5,(1/('Portfolio Input'!U51-0.02))*(1-((1.02)/(1+'Portfolio Input'!U51))^P51)+((1.02)/(1+'Portfolio Input'!U51))^P51*(1/('Portfolio Input'!U51-0.02))))))</f>
        <v>#VALUE!</v>
      </c>
      <c r="T51" s="6" t="e">
        <f>IF(A51="","",IF(('Portfolio Input'!U51+R51/10000)&lt;=0.02,30,MIN(50,MAX(5,(1/(('Portfolio Input'!U51+R51/10000)-0.02))*(1-((1.02)/(1+('Portfolio Input'!U51+R51/10000)))^Q51)+((1.02)/(1+('Portfolio Input'!U51+R51/10000)))^Q51*(1/(('Portfolio Input'!U51+R51/10000)-0.02))))))</f>
        <v>#VALUE!</v>
      </c>
      <c r="U51" s="6" t="e">
        <f t="shared" si="15"/>
        <v>#VALUE!</v>
      </c>
    </row>
    <row r="52" spans="1:21" ht="15" customHeight="1" x14ac:dyDescent="0.25">
      <c r="A52" s="7">
        <f>'Portfolio Input'!A52</f>
        <v>0</v>
      </c>
      <c r="B52" s="8" t="str">
        <f>IF('Portfolio Input'!C52="","",IFERROR(VLOOKUP('Portfolio Input'!C52,'Sector Analysis'!$A$4:$O$15,2,FALSE()),""))</f>
        <v/>
      </c>
      <c r="C52" s="8" t="str">
        <f>IF('Portfolio Input'!C52="","",IFERROR(VLOOKUP('Portfolio Input'!C52,'Sector Analysis'!$A$4:$O$15,3,FALSE()),""))</f>
        <v/>
      </c>
      <c r="D52" s="8" t="str">
        <f>IF('Portfolio Input'!C52="","",IFERROR(VLOOKUP('Portfolio Input'!C52,'Sector Analysis'!$A$4:$O$15,4,FALSE()),""))</f>
        <v/>
      </c>
      <c r="E52" s="8" t="str">
        <f>IF('Portfolio Input'!C52="","",IFERROR(VLOOKUP('Portfolio Input'!C52,'Sector Analysis'!$A$4:$O$15,5,FALSE()),""))</f>
        <v/>
      </c>
      <c r="F52" s="8" t="str">
        <f>IF('Portfolio Input'!C52="","",IFERROR(VLOOKUP('Portfolio Input'!C52,'Sector Analysis'!$A$4:$O$15,6,FALSE()),""))</f>
        <v/>
      </c>
      <c r="G52" s="6" t="str">
        <f t="shared" si="8"/>
        <v/>
      </c>
      <c r="H52" s="8" t="str">
        <f>IF('Portfolio Input'!C52="","",IFERROR(VLOOKUP('Portfolio Input'!C52,'Sector Analysis'!$A$4:$O$15,8,FALSE()),""))</f>
        <v/>
      </c>
      <c r="I52" s="8" t="str">
        <f>IF('Portfolio Input'!C52="","",IFERROR(VLOOKUP('Portfolio Input'!C52,'Sector Analysis'!$A$4:$O$15,9,FALSE()),""))</f>
        <v/>
      </c>
      <c r="J52" s="8" t="str">
        <f>IF('Portfolio Input'!C52="","",IFERROR(VLOOKUP('Portfolio Input'!C52,'Sector Analysis'!$A$4:$O$15,10,FALSE()),""))</f>
        <v/>
      </c>
      <c r="K52" s="8" t="str">
        <f>IF('Portfolio Input'!C52="","",IFERROR(VLOOKUP('Portfolio Input'!C52,'Sector Analysis'!$A$4:$O$15,11,FALSE()),""))</f>
        <v/>
      </c>
      <c r="L52" s="8" t="str">
        <f>IF('Portfolio Input'!C52="","",IFERROR(VLOOKUP('Portfolio Input'!C52,'Sector Analysis'!$A$4:$O$15,12,FALSE()),""))</f>
        <v/>
      </c>
      <c r="M52" s="6" t="e">
        <f t="shared" si="9"/>
        <v>#VALUE!</v>
      </c>
      <c r="N52" s="6" t="e">
        <f t="shared" si="10"/>
        <v>#VALUE!</v>
      </c>
      <c r="O52" s="6" t="e">
        <f t="shared" si="11"/>
        <v>#VALUE!</v>
      </c>
      <c r="P52" s="6">
        <f t="shared" si="12"/>
        <v>22</v>
      </c>
      <c r="Q52" s="6" t="e">
        <f t="shared" si="13"/>
        <v>#VALUE!</v>
      </c>
      <c r="R52" s="6" t="e">
        <f t="shared" si="14"/>
        <v>#VALUE!</v>
      </c>
      <c r="S52" s="6" t="e">
        <f>IF(A52="","",IF('Portfolio Input'!U52&lt;=0.02,30,MIN(50,MAX(5,(1/('Portfolio Input'!U52-0.02))*(1-((1.02)/(1+'Portfolio Input'!U52))^P52)+((1.02)/(1+'Portfolio Input'!U52))^P52*(1/('Portfolio Input'!U52-0.02))))))</f>
        <v>#VALUE!</v>
      </c>
      <c r="T52" s="6" t="e">
        <f>IF(A52="","",IF(('Portfolio Input'!U52+R52/10000)&lt;=0.02,30,MIN(50,MAX(5,(1/(('Portfolio Input'!U52+R52/10000)-0.02))*(1-((1.02)/(1+('Portfolio Input'!U52+R52/10000)))^Q52)+((1.02)/(1+('Portfolio Input'!U52+R52/10000)))^Q52*(1/(('Portfolio Input'!U52+R52/10000)-0.02))))))</f>
        <v>#VALUE!</v>
      </c>
      <c r="U52" s="6" t="e">
        <f t="shared" si="15"/>
        <v>#VALUE!</v>
      </c>
    </row>
    <row r="53" spans="1:21" ht="15" customHeight="1" x14ac:dyDescent="0.25">
      <c r="A53" s="7">
        <f>'Portfolio Input'!A53</f>
        <v>0</v>
      </c>
      <c r="B53" s="8" t="str">
        <f>IF('Portfolio Input'!C53="","",IFERROR(VLOOKUP('Portfolio Input'!C53,'Sector Analysis'!$A$4:$O$15,2,FALSE()),""))</f>
        <v/>
      </c>
      <c r="C53" s="8" t="str">
        <f>IF('Portfolio Input'!C53="","",IFERROR(VLOOKUP('Portfolio Input'!C53,'Sector Analysis'!$A$4:$O$15,3,FALSE()),""))</f>
        <v/>
      </c>
      <c r="D53" s="8" t="str">
        <f>IF('Portfolio Input'!C53="","",IFERROR(VLOOKUP('Portfolio Input'!C53,'Sector Analysis'!$A$4:$O$15,4,FALSE()),""))</f>
        <v/>
      </c>
      <c r="E53" s="8" t="str">
        <f>IF('Portfolio Input'!C53="","",IFERROR(VLOOKUP('Portfolio Input'!C53,'Sector Analysis'!$A$4:$O$15,5,FALSE()),""))</f>
        <v/>
      </c>
      <c r="F53" s="8" t="str">
        <f>IF('Portfolio Input'!C53="","",IFERROR(VLOOKUP('Portfolio Input'!C53,'Sector Analysis'!$A$4:$O$15,6,FALSE()),""))</f>
        <v/>
      </c>
      <c r="G53" s="6" t="str">
        <f t="shared" si="8"/>
        <v/>
      </c>
      <c r="H53" s="8" t="str">
        <f>IF('Portfolio Input'!C53="","",IFERROR(VLOOKUP('Portfolio Input'!C53,'Sector Analysis'!$A$4:$O$15,8,FALSE()),""))</f>
        <v/>
      </c>
      <c r="I53" s="8" t="str">
        <f>IF('Portfolio Input'!C53="","",IFERROR(VLOOKUP('Portfolio Input'!C53,'Sector Analysis'!$A$4:$O$15,9,FALSE()),""))</f>
        <v/>
      </c>
      <c r="J53" s="8" t="str">
        <f>IF('Portfolio Input'!C53="","",IFERROR(VLOOKUP('Portfolio Input'!C53,'Sector Analysis'!$A$4:$O$15,10,FALSE()),""))</f>
        <v/>
      </c>
      <c r="K53" s="8" t="str">
        <f>IF('Portfolio Input'!C53="","",IFERROR(VLOOKUP('Portfolio Input'!C53,'Sector Analysis'!$A$4:$O$15,11,FALSE()),""))</f>
        <v/>
      </c>
      <c r="L53" s="8" t="str">
        <f>IF('Portfolio Input'!C53="","",IFERROR(VLOOKUP('Portfolio Input'!C53,'Sector Analysis'!$A$4:$O$15,12,FALSE()),""))</f>
        <v/>
      </c>
      <c r="M53" s="6" t="e">
        <f t="shared" si="9"/>
        <v>#VALUE!</v>
      </c>
      <c r="N53" s="6" t="e">
        <f t="shared" si="10"/>
        <v>#VALUE!</v>
      </c>
      <c r="O53" s="6" t="e">
        <f t="shared" si="11"/>
        <v>#VALUE!</v>
      </c>
      <c r="P53" s="6">
        <f t="shared" si="12"/>
        <v>22</v>
      </c>
      <c r="Q53" s="6" t="e">
        <f t="shared" si="13"/>
        <v>#VALUE!</v>
      </c>
      <c r="R53" s="6" t="e">
        <f t="shared" si="14"/>
        <v>#VALUE!</v>
      </c>
      <c r="S53" s="6" t="e">
        <f>IF(A53="","",IF('Portfolio Input'!U53&lt;=0.02,30,MIN(50,MAX(5,(1/('Portfolio Input'!U53-0.02))*(1-((1.02)/(1+'Portfolio Input'!U53))^P53)+((1.02)/(1+'Portfolio Input'!U53))^P53*(1/('Portfolio Input'!U53-0.02))))))</f>
        <v>#VALUE!</v>
      </c>
      <c r="T53" s="6" t="e">
        <f>IF(A53="","",IF(('Portfolio Input'!U53+R53/10000)&lt;=0.02,30,MIN(50,MAX(5,(1/(('Portfolio Input'!U53+R53/10000)-0.02))*(1-((1.02)/(1+('Portfolio Input'!U53+R53/10000)))^Q53)+((1.02)/(1+('Portfolio Input'!U53+R53/10000)))^Q53*(1/(('Portfolio Input'!U53+R53/10000)-0.02))))))</f>
        <v>#VALUE!</v>
      </c>
      <c r="U53" s="6" t="e">
        <f t="shared" si="15"/>
        <v>#VALUE!</v>
      </c>
    </row>
    <row r="54" spans="1:21" ht="15" customHeight="1" x14ac:dyDescent="0.25">
      <c r="A54" s="7">
        <f>'Portfolio Input'!A54</f>
        <v>0</v>
      </c>
      <c r="B54" s="8" t="str">
        <f>IF('Portfolio Input'!C54="","",IFERROR(VLOOKUP('Portfolio Input'!C54,'Sector Analysis'!$A$4:$O$15,2,FALSE()),""))</f>
        <v/>
      </c>
      <c r="C54" s="8" t="str">
        <f>IF('Portfolio Input'!C54="","",IFERROR(VLOOKUP('Portfolio Input'!C54,'Sector Analysis'!$A$4:$O$15,3,FALSE()),""))</f>
        <v/>
      </c>
      <c r="D54" s="8" t="str">
        <f>IF('Portfolio Input'!C54="","",IFERROR(VLOOKUP('Portfolio Input'!C54,'Sector Analysis'!$A$4:$O$15,4,FALSE()),""))</f>
        <v/>
      </c>
      <c r="E54" s="8" t="str">
        <f>IF('Portfolio Input'!C54="","",IFERROR(VLOOKUP('Portfolio Input'!C54,'Sector Analysis'!$A$4:$O$15,5,FALSE()),""))</f>
        <v/>
      </c>
      <c r="F54" s="8" t="str">
        <f>IF('Portfolio Input'!C54="","",IFERROR(VLOOKUP('Portfolio Input'!C54,'Sector Analysis'!$A$4:$O$15,6,FALSE()),""))</f>
        <v/>
      </c>
      <c r="G54" s="6" t="str">
        <f t="shared" si="8"/>
        <v/>
      </c>
      <c r="H54" s="8" t="str">
        <f>IF('Portfolio Input'!C54="","",IFERROR(VLOOKUP('Portfolio Input'!C54,'Sector Analysis'!$A$4:$O$15,8,FALSE()),""))</f>
        <v/>
      </c>
      <c r="I54" s="8" t="str">
        <f>IF('Portfolio Input'!C54="","",IFERROR(VLOOKUP('Portfolio Input'!C54,'Sector Analysis'!$A$4:$O$15,9,FALSE()),""))</f>
        <v/>
      </c>
      <c r="J54" s="8" t="str">
        <f>IF('Portfolio Input'!C54="","",IFERROR(VLOOKUP('Portfolio Input'!C54,'Sector Analysis'!$A$4:$O$15,10,FALSE()),""))</f>
        <v/>
      </c>
      <c r="K54" s="8" t="str">
        <f>IF('Portfolio Input'!C54="","",IFERROR(VLOOKUP('Portfolio Input'!C54,'Sector Analysis'!$A$4:$O$15,11,FALSE()),""))</f>
        <v/>
      </c>
      <c r="L54" s="8" t="str">
        <f>IF('Portfolio Input'!C54="","",IFERROR(VLOOKUP('Portfolio Input'!C54,'Sector Analysis'!$A$4:$O$15,12,FALSE()),""))</f>
        <v/>
      </c>
      <c r="M54" s="6" t="e">
        <f t="shared" si="9"/>
        <v>#VALUE!</v>
      </c>
      <c r="N54" s="6" t="e">
        <f t="shared" si="10"/>
        <v>#VALUE!</v>
      </c>
      <c r="O54" s="6" t="e">
        <f t="shared" si="11"/>
        <v>#VALUE!</v>
      </c>
      <c r="P54" s="6">
        <f t="shared" si="12"/>
        <v>22</v>
      </c>
      <c r="Q54" s="6" t="e">
        <f t="shared" si="13"/>
        <v>#VALUE!</v>
      </c>
      <c r="R54" s="6" t="e">
        <f t="shared" si="14"/>
        <v>#VALUE!</v>
      </c>
      <c r="S54" s="6" t="e">
        <f>IF(A54="","",IF('Portfolio Input'!U54&lt;=0.02,30,MIN(50,MAX(5,(1/('Portfolio Input'!U54-0.02))*(1-((1.02)/(1+'Portfolio Input'!U54))^P54)+((1.02)/(1+'Portfolio Input'!U54))^P54*(1/('Portfolio Input'!U54-0.02))))))</f>
        <v>#VALUE!</v>
      </c>
      <c r="T54" s="6" t="e">
        <f>IF(A54="","",IF(('Portfolio Input'!U54+R54/10000)&lt;=0.02,30,MIN(50,MAX(5,(1/(('Portfolio Input'!U54+R54/10000)-0.02))*(1-((1.02)/(1+('Portfolio Input'!U54+R54/10000)))^Q54)+((1.02)/(1+('Portfolio Input'!U54+R54/10000)))^Q54*(1/(('Portfolio Input'!U54+R54/10000)-0.02))))))</f>
        <v>#VALUE!</v>
      </c>
      <c r="U54" s="6" t="e">
        <f t="shared" si="15"/>
        <v>#VALUE!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57200"/>
  </sheetPr>
  <dimension ref="A1:L54"/>
  <sheetViews>
    <sheetView zoomScaleNormal="100" workbookViewId="0">
      <selection activeCell="J17" sqref="J17"/>
    </sheetView>
  </sheetViews>
  <sheetFormatPr defaultColWidth="8.7109375" defaultRowHeight="15" x14ac:dyDescent="0.25"/>
  <cols>
    <col min="1" max="1" width="8" customWidth="1"/>
    <col min="2" max="2" width="16" customWidth="1"/>
    <col min="3" max="3" width="12" customWidth="1"/>
    <col min="4" max="4" width="16" customWidth="1"/>
    <col min="5" max="5" width="14" customWidth="1"/>
    <col min="6" max="6" width="18" customWidth="1"/>
    <col min="7" max="7" width="14" customWidth="1"/>
    <col min="8" max="10" width="12" customWidth="1"/>
    <col min="11" max="11" width="30" customWidth="1"/>
    <col min="12" max="12" width="12" customWidth="1"/>
  </cols>
  <sheetData>
    <row r="1" spans="1:12" ht="17.25" customHeight="1" x14ac:dyDescent="0.25">
      <c r="A1" s="1" t="s">
        <v>67</v>
      </c>
    </row>
    <row r="2" spans="1:12" ht="15" customHeight="1" x14ac:dyDescent="0.25">
      <c r="A2" s="2" t="s">
        <v>68</v>
      </c>
    </row>
    <row r="3" spans="1:12" ht="15" customHeight="1" x14ac:dyDescent="0.25">
      <c r="A3" s="3" t="s">
        <v>69</v>
      </c>
    </row>
    <row r="4" spans="1:12" ht="39" customHeight="1" x14ac:dyDescent="0.25">
      <c r="A4" s="4" t="s">
        <v>3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74</v>
      </c>
      <c r="G4" s="4" t="s">
        <v>75</v>
      </c>
      <c r="H4" s="4" t="s">
        <v>76</v>
      </c>
      <c r="I4" s="4" t="s">
        <v>77</v>
      </c>
      <c r="J4" s="4" t="s">
        <v>78</v>
      </c>
      <c r="K4" s="4" t="s">
        <v>79</v>
      </c>
      <c r="L4" s="4" t="s">
        <v>80</v>
      </c>
    </row>
    <row r="5" spans="1:12" ht="23.25" customHeight="1" x14ac:dyDescent="0.25">
      <c r="A5" s="7" t="str">
        <f>'Portfolio Input'!A5</f>
        <v>AAPL</v>
      </c>
      <c r="B5" s="9" t="s">
        <v>81</v>
      </c>
      <c r="C5" s="9" t="s">
        <v>82</v>
      </c>
      <c r="D5" s="9" t="s">
        <v>83</v>
      </c>
      <c r="E5" s="9" t="s">
        <v>84</v>
      </c>
      <c r="F5" s="9" t="s">
        <v>85</v>
      </c>
      <c r="G5" s="9" t="s">
        <v>86</v>
      </c>
      <c r="H5" s="9">
        <v>2</v>
      </c>
      <c r="I5" s="9">
        <v>5</v>
      </c>
      <c r="J5" s="9" t="s">
        <v>87</v>
      </c>
      <c r="K5" s="10"/>
      <c r="L5" s="6">
        <f t="shared" ref="L5:L36" si="0">IF(A5="","",IF(G5="Judgment Moat",1,IF(G5="Action Moat",2,IF(G5="Metadata Moat",3,IF(G5="Speed Moat",4,5))))*0.4+H5*0.3+(6-I5)*0.3)</f>
        <v>1.3</v>
      </c>
    </row>
    <row r="6" spans="1:12" ht="23.25" customHeight="1" x14ac:dyDescent="0.25">
      <c r="A6" s="7" t="str">
        <f>'Portfolio Input'!A6</f>
        <v>MSFT</v>
      </c>
      <c r="B6" s="9" t="s">
        <v>81</v>
      </c>
      <c r="C6" s="9" t="s">
        <v>88</v>
      </c>
      <c r="D6" s="9" t="s">
        <v>89</v>
      </c>
      <c r="E6" s="9" t="s">
        <v>90</v>
      </c>
      <c r="F6" s="9" t="s">
        <v>91</v>
      </c>
      <c r="G6" s="9" t="s">
        <v>92</v>
      </c>
      <c r="H6" s="9">
        <v>3</v>
      </c>
      <c r="I6" s="9">
        <v>5</v>
      </c>
      <c r="J6" s="9" t="s">
        <v>93</v>
      </c>
      <c r="K6" s="10"/>
      <c r="L6" s="6">
        <f t="shared" si="0"/>
        <v>2</v>
      </c>
    </row>
    <row r="7" spans="1:12" ht="15" customHeight="1" x14ac:dyDescent="0.25">
      <c r="A7" s="7" t="str">
        <f>'Portfolio Input'!A7</f>
        <v>GOOGL</v>
      </c>
      <c r="B7" s="9" t="s">
        <v>94</v>
      </c>
      <c r="C7" s="9" t="s">
        <v>88</v>
      </c>
      <c r="D7" s="9" t="s">
        <v>95</v>
      </c>
      <c r="E7" s="9" t="s">
        <v>90</v>
      </c>
      <c r="F7" s="9" t="s">
        <v>96</v>
      </c>
      <c r="G7" s="9" t="s">
        <v>86</v>
      </c>
      <c r="H7" s="9">
        <v>2</v>
      </c>
      <c r="I7" s="9">
        <v>5</v>
      </c>
      <c r="J7" s="9" t="s">
        <v>93</v>
      </c>
      <c r="K7" s="10"/>
      <c r="L7" s="6">
        <f t="shared" si="0"/>
        <v>1.3</v>
      </c>
    </row>
    <row r="8" spans="1:12" ht="23.25" customHeight="1" x14ac:dyDescent="0.25">
      <c r="A8" s="7" t="str">
        <f>'Portfolio Input'!A8</f>
        <v>NVDA</v>
      </c>
      <c r="B8" s="9" t="s">
        <v>97</v>
      </c>
      <c r="C8" s="9" t="s">
        <v>98</v>
      </c>
      <c r="D8" s="9" t="s">
        <v>83</v>
      </c>
      <c r="E8" s="9" t="s">
        <v>99</v>
      </c>
      <c r="F8" s="9" t="s">
        <v>85</v>
      </c>
      <c r="G8" s="9" t="s">
        <v>86</v>
      </c>
      <c r="H8" s="9">
        <v>1</v>
      </c>
      <c r="I8" s="9">
        <v>4</v>
      </c>
      <c r="J8" s="9" t="s">
        <v>87</v>
      </c>
      <c r="K8" s="10"/>
      <c r="L8" s="6">
        <f t="shared" si="0"/>
        <v>1.2999999999999998</v>
      </c>
    </row>
    <row r="9" spans="1:12" ht="15" customHeight="1" x14ac:dyDescent="0.25">
      <c r="A9" s="7" t="str">
        <f>'Portfolio Input'!A9</f>
        <v>AMZN</v>
      </c>
      <c r="B9" s="9"/>
      <c r="C9" s="9"/>
      <c r="D9" s="9"/>
      <c r="E9" s="9"/>
      <c r="F9" s="9"/>
      <c r="G9" s="9"/>
      <c r="H9" s="9"/>
      <c r="I9" s="9"/>
      <c r="J9" s="9"/>
      <c r="K9" s="10"/>
      <c r="L9" s="6">
        <f t="shared" si="0"/>
        <v>3.8</v>
      </c>
    </row>
    <row r="10" spans="1:12" ht="15" customHeight="1" x14ac:dyDescent="0.25">
      <c r="A10" s="7" t="str">
        <f>'Portfolio Input'!A10</f>
        <v>META</v>
      </c>
      <c r="B10" s="9"/>
      <c r="C10" s="9"/>
      <c r="D10" s="9"/>
      <c r="E10" s="9"/>
      <c r="F10" s="9"/>
      <c r="G10" s="9"/>
      <c r="H10" s="9"/>
      <c r="I10" s="9"/>
      <c r="J10" s="9"/>
      <c r="K10" s="10"/>
      <c r="L10" s="6">
        <f t="shared" si="0"/>
        <v>3.8</v>
      </c>
    </row>
    <row r="11" spans="1:12" ht="23.25" customHeight="1" x14ac:dyDescent="0.25">
      <c r="A11" s="7" t="str">
        <f>'Portfolio Input'!A11</f>
        <v>V</v>
      </c>
      <c r="B11" s="9" t="s">
        <v>81</v>
      </c>
      <c r="C11" s="9" t="s">
        <v>88</v>
      </c>
      <c r="D11" s="9" t="s">
        <v>100</v>
      </c>
      <c r="E11" s="9" t="s">
        <v>99</v>
      </c>
      <c r="F11" s="9" t="s">
        <v>85</v>
      </c>
      <c r="G11" s="9" t="s">
        <v>92</v>
      </c>
      <c r="H11" s="9">
        <v>2</v>
      </c>
      <c r="I11" s="9">
        <v>5</v>
      </c>
      <c r="J11" s="9" t="s">
        <v>87</v>
      </c>
      <c r="K11" s="10"/>
      <c r="L11" s="6">
        <f t="shared" si="0"/>
        <v>1.7</v>
      </c>
    </row>
    <row r="12" spans="1:12" ht="15" customHeight="1" x14ac:dyDescent="0.25">
      <c r="A12" s="7" t="str">
        <f>'Portfolio Input'!A12</f>
        <v>MA</v>
      </c>
      <c r="B12" s="9"/>
      <c r="C12" s="9"/>
      <c r="D12" s="9"/>
      <c r="E12" s="9"/>
      <c r="F12" s="9"/>
      <c r="G12" s="9"/>
      <c r="H12" s="9"/>
      <c r="I12" s="9"/>
      <c r="J12" s="9"/>
      <c r="K12" s="10"/>
      <c r="L12" s="6">
        <f t="shared" si="0"/>
        <v>3.8</v>
      </c>
    </row>
    <row r="13" spans="1:12" ht="23.25" customHeight="1" x14ac:dyDescent="0.25">
      <c r="A13" s="7" t="str">
        <f>'Portfolio Input'!A13</f>
        <v>ACN</v>
      </c>
      <c r="B13" s="9" t="s">
        <v>94</v>
      </c>
      <c r="C13" s="9" t="s">
        <v>88</v>
      </c>
      <c r="D13" s="9" t="s">
        <v>89</v>
      </c>
      <c r="E13" s="9" t="s">
        <v>90</v>
      </c>
      <c r="F13" s="9" t="s">
        <v>91</v>
      </c>
      <c r="G13" s="9" t="s">
        <v>101</v>
      </c>
      <c r="H13" s="9">
        <v>5</v>
      </c>
      <c r="I13" s="9">
        <v>2</v>
      </c>
      <c r="J13" s="9" t="s">
        <v>102</v>
      </c>
      <c r="K13" s="10"/>
      <c r="L13" s="6">
        <f t="shared" si="0"/>
        <v>4.3</v>
      </c>
    </row>
    <row r="14" spans="1:12" ht="23.25" customHeight="1" x14ac:dyDescent="0.25">
      <c r="A14" s="7" t="str">
        <f>'Portfolio Input'!A14</f>
        <v>CRM</v>
      </c>
      <c r="B14" s="9" t="s">
        <v>81</v>
      </c>
      <c r="C14" s="9" t="s">
        <v>88</v>
      </c>
      <c r="D14" s="9" t="s">
        <v>89</v>
      </c>
      <c r="E14" s="9" t="s">
        <v>90</v>
      </c>
      <c r="F14" s="9" t="s">
        <v>103</v>
      </c>
      <c r="G14" s="9" t="s">
        <v>101</v>
      </c>
      <c r="H14" s="9">
        <v>4</v>
      </c>
      <c r="I14" s="9">
        <v>2</v>
      </c>
      <c r="J14" s="9" t="s">
        <v>104</v>
      </c>
      <c r="K14" s="10"/>
      <c r="L14" s="6">
        <f t="shared" si="0"/>
        <v>4</v>
      </c>
    </row>
    <row r="15" spans="1:12" ht="15" customHeight="1" x14ac:dyDescent="0.25">
      <c r="A15" s="7" t="str">
        <f>'Portfolio Input'!A15</f>
        <v>ADBE</v>
      </c>
      <c r="B15" s="9"/>
      <c r="C15" s="9"/>
      <c r="D15" s="9"/>
      <c r="E15" s="9"/>
      <c r="F15" s="9"/>
      <c r="G15" s="9"/>
      <c r="H15" s="9"/>
      <c r="I15" s="9"/>
      <c r="J15" s="9"/>
      <c r="K15" s="10"/>
      <c r="L15" s="6">
        <f t="shared" si="0"/>
        <v>3.8</v>
      </c>
    </row>
    <row r="16" spans="1:12" ht="15" customHeight="1" x14ac:dyDescent="0.25">
      <c r="A16" s="7" t="str">
        <f>'Portfolio Input'!A16</f>
        <v>NOW</v>
      </c>
      <c r="B16" s="9"/>
      <c r="C16" s="9"/>
      <c r="D16" s="9"/>
      <c r="E16" s="9"/>
      <c r="F16" s="9"/>
      <c r="G16" s="9"/>
      <c r="H16" s="9"/>
      <c r="I16" s="9"/>
      <c r="J16" s="9"/>
      <c r="K16" s="10"/>
      <c r="L16" s="6">
        <f t="shared" si="0"/>
        <v>3.8</v>
      </c>
    </row>
    <row r="17" spans="1:12" ht="23.25" customHeight="1" x14ac:dyDescent="0.25">
      <c r="A17" s="7" t="str">
        <f>'Portfolio Input'!A17</f>
        <v>WU</v>
      </c>
      <c r="B17" s="9" t="s">
        <v>94</v>
      </c>
      <c r="C17" s="9" t="s">
        <v>82</v>
      </c>
      <c r="D17" s="9" t="s">
        <v>89</v>
      </c>
      <c r="E17" s="9" t="s">
        <v>90</v>
      </c>
      <c r="F17" s="9" t="s">
        <v>103</v>
      </c>
      <c r="G17" s="9" t="s">
        <v>105</v>
      </c>
      <c r="H17" s="9">
        <v>5</v>
      </c>
      <c r="I17" s="9">
        <v>1</v>
      </c>
      <c r="J17" s="9" t="s">
        <v>102</v>
      </c>
      <c r="K17" s="10"/>
      <c r="L17" s="6">
        <f t="shared" si="0"/>
        <v>5</v>
      </c>
    </row>
    <row r="18" spans="1:12" ht="15" customHeight="1" x14ac:dyDescent="0.25">
      <c r="A18" s="7" t="str">
        <f>'Portfolio Input'!A18</f>
        <v>INFY</v>
      </c>
      <c r="B18" s="9"/>
      <c r="C18" s="9"/>
      <c r="D18" s="9"/>
      <c r="E18" s="9"/>
      <c r="F18" s="9"/>
      <c r="G18" s="9"/>
      <c r="H18" s="9"/>
      <c r="I18" s="9"/>
      <c r="J18" s="9"/>
      <c r="K18" s="10"/>
      <c r="L18" s="6">
        <f t="shared" si="0"/>
        <v>3.8</v>
      </c>
    </row>
    <row r="19" spans="1:12" ht="15" customHeight="1" x14ac:dyDescent="0.25">
      <c r="A19" s="7" t="str">
        <f>'Portfolio Input'!A19</f>
        <v>UNH</v>
      </c>
      <c r="B19" s="9"/>
      <c r="C19" s="9"/>
      <c r="D19" s="9"/>
      <c r="E19" s="9"/>
      <c r="F19" s="9"/>
      <c r="G19" s="9"/>
      <c r="H19" s="9"/>
      <c r="I19" s="9"/>
      <c r="J19" s="9"/>
      <c r="K19" s="10"/>
      <c r="L19" s="6">
        <f t="shared" si="0"/>
        <v>3.8</v>
      </c>
    </row>
    <row r="20" spans="1:12" ht="15" customHeight="1" x14ac:dyDescent="0.25">
      <c r="A20" s="7" t="str">
        <f>'Portfolio Input'!A20</f>
        <v>JPM</v>
      </c>
      <c r="B20" s="9"/>
      <c r="C20" s="9"/>
      <c r="D20" s="9"/>
      <c r="E20" s="9"/>
      <c r="F20" s="9"/>
      <c r="G20" s="9"/>
      <c r="H20" s="9"/>
      <c r="I20" s="9"/>
      <c r="J20" s="9"/>
      <c r="K20" s="10"/>
      <c r="L20" s="6">
        <f t="shared" si="0"/>
        <v>3.8</v>
      </c>
    </row>
    <row r="21" spans="1:12" ht="15" customHeight="1" x14ac:dyDescent="0.25">
      <c r="A21" s="7" t="str">
        <f>'Portfolio Input'!A21</f>
        <v>BLK</v>
      </c>
      <c r="B21" s="9"/>
      <c r="C21" s="9"/>
      <c r="D21" s="9"/>
      <c r="E21" s="9"/>
      <c r="F21" s="9"/>
      <c r="G21" s="9"/>
      <c r="H21" s="9"/>
      <c r="I21" s="9"/>
      <c r="J21" s="9"/>
      <c r="K21" s="10"/>
      <c r="L21" s="6">
        <f t="shared" si="0"/>
        <v>3.8</v>
      </c>
    </row>
    <row r="22" spans="1:12" ht="15" customHeight="1" x14ac:dyDescent="0.25">
      <c r="A22" s="7" t="str">
        <f>'Portfolio Input'!A22</f>
        <v>LLY</v>
      </c>
      <c r="B22" s="9"/>
      <c r="C22" s="9"/>
      <c r="D22" s="9"/>
      <c r="E22" s="9"/>
      <c r="F22" s="9"/>
      <c r="G22" s="9"/>
      <c r="H22" s="9"/>
      <c r="I22" s="9"/>
      <c r="J22" s="9"/>
      <c r="K22" s="10"/>
      <c r="L22" s="6">
        <f t="shared" si="0"/>
        <v>3.8</v>
      </c>
    </row>
    <row r="23" spans="1:12" ht="15" customHeight="1" x14ac:dyDescent="0.25">
      <c r="A23" s="7" t="str">
        <f>'Portfolio Input'!A23</f>
        <v>XOM</v>
      </c>
      <c r="B23" s="9"/>
      <c r="C23" s="9"/>
      <c r="D23" s="9"/>
      <c r="E23" s="9"/>
      <c r="F23" s="9"/>
      <c r="G23" s="9"/>
      <c r="H23" s="9"/>
      <c r="I23" s="9"/>
      <c r="J23" s="9"/>
      <c r="K23" s="10"/>
      <c r="L23" s="6">
        <f t="shared" si="0"/>
        <v>3.8</v>
      </c>
    </row>
    <row r="24" spans="1:12" ht="15" customHeight="1" x14ac:dyDescent="0.25">
      <c r="A24" s="7" t="str">
        <f>'Portfolio Input'!A24</f>
        <v>NEE</v>
      </c>
      <c r="B24" s="9"/>
      <c r="C24" s="9"/>
      <c r="D24" s="9"/>
      <c r="E24" s="9"/>
      <c r="F24" s="9"/>
      <c r="G24" s="9"/>
      <c r="H24" s="9"/>
      <c r="I24" s="9"/>
      <c r="J24" s="9"/>
      <c r="K24" s="10"/>
      <c r="L24" s="6">
        <f t="shared" si="0"/>
        <v>3.8</v>
      </c>
    </row>
    <row r="25" spans="1:12" ht="15" customHeight="1" x14ac:dyDescent="0.25">
      <c r="A25" s="7" t="str">
        <f>'Portfolio Input'!A25</f>
        <v>GAP</v>
      </c>
      <c r="B25" s="9"/>
      <c r="C25" s="9"/>
      <c r="D25" s="9"/>
      <c r="E25" s="9"/>
      <c r="F25" s="9"/>
      <c r="G25" s="9"/>
      <c r="H25" s="9"/>
      <c r="I25" s="9"/>
      <c r="J25" s="9"/>
      <c r="K25" s="10"/>
      <c r="L25" s="6">
        <f t="shared" si="0"/>
        <v>3.8</v>
      </c>
    </row>
    <row r="26" spans="1:12" ht="15" customHeight="1" x14ac:dyDescent="0.25">
      <c r="A26" s="7">
        <f>'Portfolio Input'!A26</f>
        <v>0</v>
      </c>
      <c r="B26" s="9"/>
      <c r="C26" s="9"/>
      <c r="D26" s="9"/>
      <c r="E26" s="9"/>
      <c r="F26" s="9"/>
      <c r="G26" s="9"/>
      <c r="H26" s="9"/>
      <c r="I26" s="9"/>
      <c r="J26" s="9"/>
      <c r="K26" s="10"/>
      <c r="L26" s="6">
        <f t="shared" si="0"/>
        <v>3.8</v>
      </c>
    </row>
    <row r="27" spans="1:12" ht="15" customHeight="1" x14ac:dyDescent="0.25">
      <c r="A27" s="7">
        <f>'Portfolio Input'!A27</f>
        <v>0</v>
      </c>
      <c r="B27" s="9"/>
      <c r="C27" s="9"/>
      <c r="D27" s="9"/>
      <c r="E27" s="9"/>
      <c r="F27" s="9"/>
      <c r="G27" s="9"/>
      <c r="H27" s="9"/>
      <c r="I27" s="9"/>
      <c r="J27" s="9"/>
      <c r="K27" s="10"/>
      <c r="L27" s="6">
        <f t="shared" si="0"/>
        <v>3.8</v>
      </c>
    </row>
    <row r="28" spans="1:12" ht="15" customHeight="1" x14ac:dyDescent="0.25">
      <c r="A28" s="7">
        <f>'Portfolio Input'!A28</f>
        <v>0</v>
      </c>
      <c r="B28" s="9"/>
      <c r="C28" s="9"/>
      <c r="D28" s="9"/>
      <c r="E28" s="9"/>
      <c r="F28" s="9"/>
      <c r="G28" s="9"/>
      <c r="H28" s="9"/>
      <c r="I28" s="9"/>
      <c r="J28" s="9"/>
      <c r="K28" s="10"/>
      <c r="L28" s="6">
        <f t="shared" si="0"/>
        <v>3.8</v>
      </c>
    </row>
    <row r="29" spans="1:12" ht="15" customHeight="1" x14ac:dyDescent="0.25">
      <c r="A29" s="7">
        <f>'Portfolio Input'!A29</f>
        <v>0</v>
      </c>
      <c r="B29" s="9"/>
      <c r="C29" s="9"/>
      <c r="D29" s="9"/>
      <c r="E29" s="9"/>
      <c r="F29" s="9"/>
      <c r="G29" s="9"/>
      <c r="H29" s="9"/>
      <c r="I29" s="9"/>
      <c r="J29" s="9"/>
      <c r="K29" s="10"/>
      <c r="L29" s="6">
        <f t="shared" si="0"/>
        <v>3.8</v>
      </c>
    </row>
    <row r="30" spans="1:12" ht="15" customHeight="1" x14ac:dyDescent="0.25">
      <c r="A30" s="7">
        <f>'Portfolio Input'!A30</f>
        <v>0</v>
      </c>
      <c r="B30" s="9"/>
      <c r="C30" s="9"/>
      <c r="D30" s="9"/>
      <c r="E30" s="9"/>
      <c r="F30" s="9"/>
      <c r="G30" s="9"/>
      <c r="H30" s="9"/>
      <c r="I30" s="9"/>
      <c r="J30" s="9"/>
      <c r="K30" s="10"/>
      <c r="L30" s="6">
        <f t="shared" si="0"/>
        <v>3.8</v>
      </c>
    </row>
    <row r="31" spans="1:12" ht="15" customHeight="1" x14ac:dyDescent="0.25">
      <c r="A31" s="7">
        <f>'Portfolio Input'!A31</f>
        <v>0</v>
      </c>
      <c r="B31" s="9"/>
      <c r="C31" s="9"/>
      <c r="D31" s="9"/>
      <c r="E31" s="9"/>
      <c r="F31" s="9"/>
      <c r="G31" s="9"/>
      <c r="H31" s="9"/>
      <c r="I31" s="9"/>
      <c r="J31" s="9"/>
      <c r="K31" s="10"/>
      <c r="L31" s="6">
        <f t="shared" si="0"/>
        <v>3.8</v>
      </c>
    </row>
    <row r="32" spans="1:12" ht="15" customHeight="1" x14ac:dyDescent="0.25">
      <c r="A32" s="7">
        <f>'Portfolio Input'!A32</f>
        <v>0</v>
      </c>
      <c r="B32" s="9"/>
      <c r="C32" s="9"/>
      <c r="D32" s="9"/>
      <c r="E32" s="9"/>
      <c r="F32" s="9"/>
      <c r="G32" s="9"/>
      <c r="H32" s="9"/>
      <c r="I32" s="9"/>
      <c r="J32" s="9"/>
      <c r="K32" s="10"/>
      <c r="L32" s="6">
        <f t="shared" si="0"/>
        <v>3.8</v>
      </c>
    </row>
    <row r="33" spans="1:12" ht="15" customHeight="1" x14ac:dyDescent="0.25">
      <c r="A33" s="7">
        <f>'Portfolio Input'!A33</f>
        <v>0</v>
      </c>
      <c r="B33" s="9"/>
      <c r="C33" s="9"/>
      <c r="D33" s="9"/>
      <c r="E33" s="9"/>
      <c r="F33" s="9"/>
      <c r="G33" s="9"/>
      <c r="H33" s="9"/>
      <c r="I33" s="9"/>
      <c r="J33" s="9"/>
      <c r="K33" s="10"/>
      <c r="L33" s="6">
        <f t="shared" si="0"/>
        <v>3.8</v>
      </c>
    </row>
    <row r="34" spans="1:12" ht="15" customHeight="1" x14ac:dyDescent="0.25">
      <c r="A34" s="7">
        <f>'Portfolio Input'!A34</f>
        <v>0</v>
      </c>
      <c r="B34" s="9"/>
      <c r="C34" s="9"/>
      <c r="D34" s="9"/>
      <c r="E34" s="9"/>
      <c r="F34" s="9"/>
      <c r="G34" s="9"/>
      <c r="H34" s="9"/>
      <c r="I34" s="9"/>
      <c r="J34" s="9"/>
      <c r="K34" s="10"/>
      <c r="L34" s="6">
        <f t="shared" si="0"/>
        <v>3.8</v>
      </c>
    </row>
    <row r="35" spans="1:12" ht="15" customHeight="1" x14ac:dyDescent="0.25">
      <c r="A35" s="7">
        <f>'Portfolio Input'!A35</f>
        <v>0</v>
      </c>
      <c r="B35" s="9"/>
      <c r="C35" s="9"/>
      <c r="D35" s="9"/>
      <c r="E35" s="9"/>
      <c r="F35" s="9"/>
      <c r="G35" s="9"/>
      <c r="H35" s="9"/>
      <c r="I35" s="9"/>
      <c r="J35" s="9"/>
      <c r="K35" s="10"/>
      <c r="L35" s="6">
        <f t="shared" si="0"/>
        <v>3.8</v>
      </c>
    </row>
    <row r="36" spans="1:12" ht="15" customHeight="1" x14ac:dyDescent="0.25">
      <c r="A36" s="7">
        <f>'Portfolio Input'!A36</f>
        <v>0</v>
      </c>
      <c r="B36" s="9"/>
      <c r="C36" s="9"/>
      <c r="D36" s="9"/>
      <c r="E36" s="9"/>
      <c r="F36" s="9"/>
      <c r="G36" s="9"/>
      <c r="H36" s="9"/>
      <c r="I36" s="9"/>
      <c r="J36" s="9"/>
      <c r="K36" s="10"/>
      <c r="L36" s="6">
        <f t="shared" si="0"/>
        <v>3.8</v>
      </c>
    </row>
    <row r="37" spans="1:12" ht="15" customHeight="1" x14ac:dyDescent="0.25">
      <c r="A37" s="7">
        <f>'Portfolio Input'!A37</f>
        <v>0</v>
      </c>
      <c r="B37" s="9"/>
      <c r="C37" s="9"/>
      <c r="D37" s="9"/>
      <c r="E37" s="9"/>
      <c r="F37" s="9"/>
      <c r="G37" s="9"/>
      <c r="H37" s="9"/>
      <c r="I37" s="9"/>
      <c r="J37" s="9"/>
      <c r="K37" s="10"/>
      <c r="L37" s="6">
        <f t="shared" ref="L37:L54" si="1">IF(A37="","",IF(G37="Judgment Moat",1,IF(G37="Action Moat",2,IF(G37="Metadata Moat",3,IF(G37="Speed Moat",4,5))))*0.4+H37*0.3+(6-I37)*0.3)</f>
        <v>3.8</v>
      </c>
    </row>
    <row r="38" spans="1:12" ht="15" customHeight="1" x14ac:dyDescent="0.25">
      <c r="A38" s="7">
        <f>'Portfolio Input'!A38</f>
        <v>0</v>
      </c>
      <c r="B38" s="9"/>
      <c r="C38" s="9"/>
      <c r="D38" s="9"/>
      <c r="E38" s="9"/>
      <c r="F38" s="9"/>
      <c r="G38" s="9"/>
      <c r="H38" s="9"/>
      <c r="I38" s="9"/>
      <c r="J38" s="9"/>
      <c r="K38" s="10"/>
      <c r="L38" s="6">
        <f t="shared" si="1"/>
        <v>3.8</v>
      </c>
    </row>
    <row r="39" spans="1:12" ht="15" customHeight="1" x14ac:dyDescent="0.25">
      <c r="A39" s="7">
        <f>'Portfolio Input'!A39</f>
        <v>0</v>
      </c>
      <c r="B39" s="9"/>
      <c r="C39" s="9"/>
      <c r="D39" s="9"/>
      <c r="E39" s="9"/>
      <c r="F39" s="9"/>
      <c r="G39" s="9"/>
      <c r="H39" s="9"/>
      <c r="I39" s="9"/>
      <c r="J39" s="9"/>
      <c r="K39" s="10"/>
      <c r="L39" s="6">
        <f t="shared" si="1"/>
        <v>3.8</v>
      </c>
    </row>
    <row r="40" spans="1:12" ht="15" customHeight="1" x14ac:dyDescent="0.25">
      <c r="A40" s="7">
        <f>'Portfolio Input'!A40</f>
        <v>0</v>
      </c>
      <c r="B40" s="9"/>
      <c r="C40" s="9"/>
      <c r="D40" s="9"/>
      <c r="E40" s="9"/>
      <c r="F40" s="9"/>
      <c r="G40" s="9"/>
      <c r="H40" s="9"/>
      <c r="I40" s="9"/>
      <c r="J40" s="9"/>
      <c r="K40" s="10"/>
      <c r="L40" s="6">
        <f t="shared" si="1"/>
        <v>3.8</v>
      </c>
    </row>
    <row r="41" spans="1:12" ht="15" customHeight="1" x14ac:dyDescent="0.25">
      <c r="A41" s="7">
        <f>'Portfolio Input'!A41</f>
        <v>0</v>
      </c>
      <c r="B41" s="9"/>
      <c r="C41" s="9"/>
      <c r="D41" s="9"/>
      <c r="E41" s="9"/>
      <c r="F41" s="9"/>
      <c r="G41" s="9"/>
      <c r="H41" s="9"/>
      <c r="I41" s="9"/>
      <c r="J41" s="9"/>
      <c r="K41" s="10"/>
      <c r="L41" s="6">
        <f t="shared" si="1"/>
        <v>3.8</v>
      </c>
    </row>
    <row r="42" spans="1:12" ht="15" customHeight="1" x14ac:dyDescent="0.25">
      <c r="A42" s="7">
        <f>'Portfolio Input'!A42</f>
        <v>0</v>
      </c>
      <c r="B42" s="9"/>
      <c r="C42" s="9"/>
      <c r="D42" s="9"/>
      <c r="E42" s="9"/>
      <c r="F42" s="9"/>
      <c r="G42" s="9"/>
      <c r="H42" s="9"/>
      <c r="I42" s="9"/>
      <c r="J42" s="9"/>
      <c r="K42" s="10"/>
      <c r="L42" s="6">
        <f t="shared" si="1"/>
        <v>3.8</v>
      </c>
    </row>
    <row r="43" spans="1:12" ht="15" customHeight="1" x14ac:dyDescent="0.25">
      <c r="A43" s="7">
        <f>'Portfolio Input'!A43</f>
        <v>0</v>
      </c>
      <c r="B43" s="9"/>
      <c r="C43" s="9"/>
      <c r="D43" s="9"/>
      <c r="E43" s="9"/>
      <c r="F43" s="9"/>
      <c r="G43" s="9"/>
      <c r="H43" s="9"/>
      <c r="I43" s="9"/>
      <c r="J43" s="9"/>
      <c r="K43" s="10"/>
      <c r="L43" s="6">
        <f t="shared" si="1"/>
        <v>3.8</v>
      </c>
    </row>
    <row r="44" spans="1:12" ht="15" customHeight="1" x14ac:dyDescent="0.25">
      <c r="A44" s="7">
        <f>'Portfolio Input'!A44</f>
        <v>0</v>
      </c>
      <c r="B44" s="9"/>
      <c r="C44" s="9"/>
      <c r="D44" s="9"/>
      <c r="E44" s="9"/>
      <c r="F44" s="9"/>
      <c r="G44" s="9"/>
      <c r="H44" s="9"/>
      <c r="I44" s="9"/>
      <c r="J44" s="9"/>
      <c r="K44" s="10"/>
      <c r="L44" s="6">
        <f t="shared" si="1"/>
        <v>3.8</v>
      </c>
    </row>
    <row r="45" spans="1:12" ht="15" customHeight="1" x14ac:dyDescent="0.25">
      <c r="A45" s="7">
        <f>'Portfolio Input'!A45</f>
        <v>0</v>
      </c>
      <c r="B45" s="9"/>
      <c r="C45" s="9"/>
      <c r="D45" s="9"/>
      <c r="E45" s="9"/>
      <c r="F45" s="9"/>
      <c r="G45" s="9"/>
      <c r="H45" s="9"/>
      <c r="I45" s="9"/>
      <c r="J45" s="9"/>
      <c r="K45" s="10"/>
      <c r="L45" s="6">
        <f t="shared" si="1"/>
        <v>3.8</v>
      </c>
    </row>
    <row r="46" spans="1:12" ht="15" customHeight="1" x14ac:dyDescent="0.25">
      <c r="A46" s="7">
        <f>'Portfolio Input'!A46</f>
        <v>0</v>
      </c>
      <c r="B46" s="9"/>
      <c r="C46" s="9"/>
      <c r="D46" s="9"/>
      <c r="E46" s="9"/>
      <c r="F46" s="9"/>
      <c r="G46" s="9"/>
      <c r="H46" s="9"/>
      <c r="I46" s="9"/>
      <c r="J46" s="9"/>
      <c r="K46" s="10"/>
      <c r="L46" s="6">
        <f t="shared" si="1"/>
        <v>3.8</v>
      </c>
    </row>
    <row r="47" spans="1:12" ht="15" customHeight="1" x14ac:dyDescent="0.25">
      <c r="A47" s="7">
        <f>'Portfolio Input'!A47</f>
        <v>0</v>
      </c>
      <c r="B47" s="9"/>
      <c r="C47" s="9"/>
      <c r="D47" s="9"/>
      <c r="E47" s="9"/>
      <c r="F47" s="9"/>
      <c r="G47" s="9"/>
      <c r="H47" s="9"/>
      <c r="I47" s="9"/>
      <c r="J47" s="9"/>
      <c r="K47" s="10"/>
      <c r="L47" s="6">
        <f t="shared" si="1"/>
        <v>3.8</v>
      </c>
    </row>
    <row r="48" spans="1:12" ht="15" customHeight="1" x14ac:dyDescent="0.25">
      <c r="A48" s="7">
        <f>'Portfolio Input'!A48</f>
        <v>0</v>
      </c>
      <c r="B48" s="9"/>
      <c r="C48" s="9"/>
      <c r="D48" s="9"/>
      <c r="E48" s="9"/>
      <c r="F48" s="9"/>
      <c r="G48" s="9"/>
      <c r="H48" s="9"/>
      <c r="I48" s="9"/>
      <c r="J48" s="9"/>
      <c r="K48" s="10"/>
      <c r="L48" s="6">
        <f t="shared" si="1"/>
        <v>3.8</v>
      </c>
    </row>
    <row r="49" spans="1:12" ht="15" customHeight="1" x14ac:dyDescent="0.25">
      <c r="A49" s="7">
        <f>'Portfolio Input'!A49</f>
        <v>0</v>
      </c>
      <c r="B49" s="9"/>
      <c r="C49" s="9"/>
      <c r="D49" s="9"/>
      <c r="E49" s="9"/>
      <c r="F49" s="9"/>
      <c r="G49" s="9"/>
      <c r="H49" s="9"/>
      <c r="I49" s="9"/>
      <c r="J49" s="9"/>
      <c r="K49" s="10"/>
      <c r="L49" s="6">
        <f t="shared" si="1"/>
        <v>3.8</v>
      </c>
    </row>
    <row r="50" spans="1:12" ht="15" customHeight="1" x14ac:dyDescent="0.25">
      <c r="A50" s="7">
        <f>'Portfolio Input'!A50</f>
        <v>0</v>
      </c>
      <c r="B50" s="9"/>
      <c r="C50" s="9"/>
      <c r="D50" s="9"/>
      <c r="E50" s="9"/>
      <c r="F50" s="9"/>
      <c r="G50" s="9"/>
      <c r="H50" s="9"/>
      <c r="I50" s="9"/>
      <c r="J50" s="9"/>
      <c r="K50" s="10"/>
      <c r="L50" s="6">
        <f t="shared" si="1"/>
        <v>3.8</v>
      </c>
    </row>
    <row r="51" spans="1:12" ht="15" customHeight="1" x14ac:dyDescent="0.25">
      <c r="A51" s="7">
        <f>'Portfolio Input'!A51</f>
        <v>0</v>
      </c>
      <c r="B51" s="9"/>
      <c r="C51" s="9"/>
      <c r="D51" s="9"/>
      <c r="E51" s="9"/>
      <c r="F51" s="9"/>
      <c r="G51" s="9"/>
      <c r="H51" s="9"/>
      <c r="I51" s="9"/>
      <c r="J51" s="9"/>
      <c r="K51" s="10"/>
      <c r="L51" s="6">
        <f t="shared" si="1"/>
        <v>3.8</v>
      </c>
    </row>
    <row r="52" spans="1:12" ht="15" customHeight="1" x14ac:dyDescent="0.25">
      <c r="A52" s="7">
        <f>'Portfolio Input'!A52</f>
        <v>0</v>
      </c>
      <c r="B52" s="9"/>
      <c r="C52" s="9"/>
      <c r="D52" s="9"/>
      <c r="E52" s="9"/>
      <c r="F52" s="9"/>
      <c r="G52" s="9"/>
      <c r="H52" s="9"/>
      <c r="I52" s="9"/>
      <c r="J52" s="9"/>
      <c r="K52" s="10"/>
      <c r="L52" s="6">
        <f t="shared" si="1"/>
        <v>3.8</v>
      </c>
    </row>
    <row r="53" spans="1:12" ht="15" customHeight="1" x14ac:dyDescent="0.25">
      <c r="A53" s="7">
        <f>'Portfolio Input'!A53</f>
        <v>0</v>
      </c>
      <c r="B53" s="9"/>
      <c r="C53" s="9"/>
      <c r="D53" s="9"/>
      <c r="E53" s="9"/>
      <c r="F53" s="9"/>
      <c r="G53" s="9"/>
      <c r="H53" s="9"/>
      <c r="I53" s="9"/>
      <c r="J53" s="9"/>
      <c r="K53" s="10"/>
      <c r="L53" s="6">
        <f t="shared" si="1"/>
        <v>3.8</v>
      </c>
    </row>
    <row r="54" spans="1:12" ht="15" customHeight="1" x14ac:dyDescent="0.25">
      <c r="A54" s="7">
        <f>'Portfolio Input'!A54</f>
        <v>0</v>
      </c>
      <c r="B54" s="9"/>
      <c r="C54" s="9"/>
      <c r="D54" s="9"/>
      <c r="E54" s="9"/>
      <c r="F54" s="9"/>
      <c r="G54" s="9"/>
      <c r="H54" s="9"/>
      <c r="I54" s="9"/>
      <c r="J54" s="9"/>
      <c r="K54" s="10"/>
      <c r="L54" s="6">
        <f t="shared" si="1"/>
        <v>3.8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BEE8"/>
  </sheetPr>
  <dimension ref="A1:N58"/>
  <sheetViews>
    <sheetView zoomScaleNormal="100" workbookViewId="0">
      <selection activeCell="E30" sqref="E30"/>
    </sheetView>
  </sheetViews>
  <sheetFormatPr defaultColWidth="8.7109375" defaultRowHeight="15" x14ac:dyDescent="0.25"/>
  <cols>
    <col min="1" max="1" width="8" customWidth="1"/>
    <col min="2" max="2" width="20" customWidth="1"/>
    <col min="3" max="3" width="18" customWidth="1"/>
    <col min="4" max="4" width="24" customWidth="1"/>
    <col min="5" max="7" width="8" customWidth="1"/>
    <col min="8" max="8" width="12" customWidth="1"/>
    <col min="9" max="9" width="14" customWidth="1"/>
    <col min="10" max="11" width="7" customWidth="1"/>
    <col min="12" max="13" width="8" customWidth="1"/>
    <col min="14" max="14" width="10" customWidth="1"/>
  </cols>
  <sheetData>
    <row r="1" spans="1:14" ht="17.25" customHeight="1" x14ac:dyDescent="0.25">
      <c r="A1" s="1" t="s">
        <v>106</v>
      </c>
    </row>
    <row r="2" spans="1:14" ht="15" customHeight="1" x14ac:dyDescent="0.25">
      <c r="A2" s="2" t="s">
        <v>107</v>
      </c>
    </row>
    <row r="4" spans="1:14" ht="39" customHeight="1" x14ac:dyDescent="0.25">
      <c r="A4" s="4" t="s">
        <v>108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  <c r="G4" s="4" t="s">
        <v>114</v>
      </c>
      <c r="H4" s="4" t="s">
        <v>115</v>
      </c>
      <c r="I4" s="4" t="s">
        <v>116</v>
      </c>
      <c r="J4" s="4" t="s">
        <v>117</v>
      </c>
    </row>
    <row r="5" spans="1:14" ht="15" customHeight="1" x14ac:dyDescent="0.25">
      <c r="A5" s="6">
        <f>COUNTA('Moat Scoring'!A5:A54)-COUNTBLANK('Moat Scoring'!A5:A54)</f>
        <v>50</v>
      </c>
      <c r="B5" s="6">
        <f>IFERROR(AVERAGE('Moat Scoring'!G5:G54),0)</f>
        <v>3.0619047619047612</v>
      </c>
      <c r="C5" s="6">
        <f>IFERROR(AVERAGE('Moat Scoring'!M5:M54),0)</f>
        <v>0</v>
      </c>
      <c r="D5" s="6">
        <f>IFERROR(AVERAGE('Moat Scoring'!N5:N54),0)</f>
        <v>0</v>
      </c>
      <c r="E5" s="6">
        <f>IFERROR(AVERAGE('Moat Scoring'!U5:U54),0)</f>
        <v>0</v>
      </c>
      <c r="F5" s="6">
        <f>COUNTIF('Moat Scoring'!O5:O54,"CRITICAL")</f>
        <v>0</v>
      </c>
      <c r="G5" s="6">
        <f>COUNTIF('Moat Scoring'!O5:O54,"HIGH")</f>
        <v>7</v>
      </c>
      <c r="H5" s="6">
        <f>COUNTIF('Moat Scoring'!O5:O54,"MEDIUM")</f>
        <v>2</v>
      </c>
      <c r="I5" s="6">
        <f>COUNTIF('Moat Scoring'!O5:O54,"LOW-MEDIUM")</f>
        <v>11</v>
      </c>
      <c r="J5" s="6">
        <f>COUNTIF('Moat Scoring'!O5:O54,"LOW")</f>
        <v>1</v>
      </c>
    </row>
    <row r="7" spans="1:14" ht="15" customHeight="1" x14ac:dyDescent="0.25">
      <c r="A7" s="11" t="s">
        <v>118</v>
      </c>
    </row>
    <row r="8" spans="1:14" ht="26.25" customHeight="1" x14ac:dyDescent="0.25">
      <c r="A8" s="4" t="s">
        <v>3</v>
      </c>
      <c r="B8" s="4" t="s">
        <v>119</v>
      </c>
      <c r="C8" s="4" t="s">
        <v>120</v>
      </c>
      <c r="D8" s="4" t="s">
        <v>121</v>
      </c>
      <c r="E8" s="4" t="s">
        <v>52</v>
      </c>
      <c r="F8" s="4" t="s">
        <v>58</v>
      </c>
      <c r="G8" s="4" t="s">
        <v>122</v>
      </c>
      <c r="H8" s="4" t="s">
        <v>60</v>
      </c>
      <c r="I8" s="4" t="s">
        <v>123</v>
      </c>
      <c r="J8" s="4" t="s">
        <v>124</v>
      </c>
      <c r="K8" s="4" t="s">
        <v>125</v>
      </c>
      <c r="L8" s="4" t="s">
        <v>126</v>
      </c>
      <c r="M8" s="4" t="s">
        <v>127</v>
      </c>
      <c r="N8" s="4" t="s">
        <v>128</v>
      </c>
    </row>
    <row r="9" spans="1:14" ht="15" customHeight="1" x14ac:dyDescent="0.25">
      <c r="A9" s="12" t="str">
        <f>'Portfolio Input'!A5</f>
        <v>AAPL</v>
      </c>
      <c r="B9" s="12" t="str">
        <f>'Portfolio Input'!B5</f>
        <v>APPLE INC</v>
      </c>
      <c r="C9" s="13" t="str">
        <f>'Portfolio Input'!C5</f>
        <v>Information Technology</v>
      </c>
      <c r="D9" s="13" t="str">
        <f>'Portfolio Input'!D5</f>
        <v>Technology Hardware, Storage &amp;</v>
      </c>
      <c r="E9" s="13">
        <f>'Moat Scoring'!G5</f>
        <v>3.55</v>
      </c>
      <c r="F9" s="13">
        <f>'Moat Scoring'!M5</f>
        <v>2.95</v>
      </c>
      <c r="G9" s="13">
        <f>'Moat Scoring'!N5</f>
        <v>0.59999999999999964</v>
      </c>
      <c r="H9" s="13" t="str">
        <f>'Moat Scoring'!O5</f>
        <v>LOW-MEDIUM</v>
      </c>
      <c r="I9" s="13" t="str">
        <f>'Business Model Risk'!G5</f>
        <v>Judgment Moat</v>
      </c>
      <c r="J9" s="13">
        <f>'Moat Scoring'!P5</f>
        <v>18</v>
      </c>
      <c r="K9" s="13">
        <f>'Moat Scoring'!Q5</f>
        <v>14</v>
      </c>
      <c r="L9" s="13">
        <f>'Moat Scoring'!R5</f>
        <v>100</v>
      </c>
      <c r="M9" s="13">
        <f>'Moat Scoring'!T5</f>
        <v>11.050200425208478</v>
      </c>
      <c r="N9" s="13">
        <f>'Moat Scoring'!U5</f>
        <v>11.05020042520847</v>
      </c>
    </row>
    <row r="10" spans="1:14" ht="15" customHeight="1" x14ac:dyDescent="0.25">
      <c r="A10" s="12" t="str">
        <f>'Portfolio Input'!A6</f>
        <v>MSFT</v>
      </c>
      <c r="B10" s="12" t="str">
        <f>'Portfolio Input'!B6</f>
        <v>MICROSOFT CORP</v>
      </c>
      <c r="C10" s="13" t="str">
        <f>'Portfolio Input'!C6</f>
        <v>Information Technology</v>
      </c>
      <c r="D10" s="13" t="str">
        <f>'Portfolio Input'!D6</f>
        <v>Systems Software</v>
      </c>
      <c r="E10" s="13">
        <f>'Moat Scoring'!G6</f>
        <v>3.55</v>
      </c>
      <c r="F10" s="13">
        <f>'Moat Scoring'!M6</f>
        <v>2.95</v>
      </c>
      <c r="G10" s="13">
        <f>'Moat Scoring'!N6</f>
        <v>0.59999999999999964</v>
      </c>
      <c r="H10" s="13" t="str">
        <f>'Moat Scoring'!O6</f>
        <v>LOW-MEDIUM</v>
      </c>
      <c r="I10" s="13" t="str">
        <f>'Business Model Risk'!G6</f>
        <v>Action Moat</v>
      </c>
      <c r="J10" s="13">
        <f>'Moat Scoring'!P6</f>
        <v>18</v>
      </c>
      <c r="K10" s="13">
        <f>'Moat Scoring'!Q6</f>
        <v>14</v>
      </c>
      <c r="L10" s="13">
        <f>'Moat Scoring'!R6</f>
        <v>100</v>
      </c>
      <c r="M10" s="13">
        <f>'Moat Scoring'!T6</f>
        <v>11.605063123730154</v>
      </c>
      <c r="N10" s="13">
        <f>'Moat Scoring'!U6</f>
        <v>11.605063123730138</v>
      </c>
    </row>
    <row r="11" spans="1:14" ht="15" customHeight="1" x14ac:dyDescent="0.25">
      <c r="A11" s="12" t="str">
        <f>'Portfolio Input'!A7</f>
        <v>GOOGL</v>
      </c>
      <c r="B11" s="12" t="str">
        <f>'Portfolio Input'!B7</f>
        <v>ALPHABET INC-CL A</v>
      </c>
      <c r="C11" s="13" t="str">
        <f>'Portfolio Input'!C7</f>
        <v>Communication Services</v>
      </c>
      <c r="D11" s="13" t="str">
        <f>'Portfolio Input'!D7</f>
        <v>Interactive Media &amp; Services</v>
      </c>
      <c r="E11" s="13">
        <f>'Moat Scoring'!G7</f>
        <v>3.5</v>
      </c>
      <c r="F11" s="13">
        <f>'Moat Scoring'!M7</f>
        <v>3.3000000000000003</v>
      </c>
      <c r="G11" s="13">
        <f>'Moat Scoring'!N7</f>
        <v>0.19999999999999973</v>
      </c>
      <c r="H11" s="13" t="str">
        <f>'Moat Scoring'!O7</f>
        <v>MEDIUM</v>
      </c>
      <c r="I11" s="13" t="str">
        <f>'Business Model Risk'!G7</f>
        <v>Judgment Moat</v>
      </c>
      <c r="J11" s="13">
        <f>'Moat Scoring'!P7</f>
        <v>18</v>
      </c>
      <c r="K11" s="13">
        <f>'Moat Scoring'!Q7</f>
        <v>13</v>
      </c>
      <c r="L11" s="13">
        <f>'Moat Scoring'!R7</f>
        <v>150</v>
      </c>
      <c r="M11" s="13">
        <f>'Moat Scoring'!T7</f>
        <v>10.722118339374937</v>
      </c>
      <c r="N11" s="13">
        <f>'Moat Scoring'!U7</f>
        <v>16.083177509062423</v>
      </c>
    </row>
    <row r="12" spans="1:14" ht="15" customHeight="1" x14ac:dyDescent="0.25">
      <c r="A12" s="12" t="str">
        <f>'Portfolio Input'!A8</f>
        <v>NVDA</v>
      </c>
      <c r="B12" s="12" t="str">
        <f>'Portfolio Input'!B8</f>
        <v>NVIDIA CORP</v>
      </c>
      <c r="C12" s="13" t="str">
        <f>'Portfolio Input'!C8</f>
        <v>Information Technology</v>
      </c>
      <c r="D12" s="13" t="str">
        <f>'Portfolio Input'!D8</f>
        <v>Semiconductors</v>
      </c>
      <c r="E12" s="13">
        <f>'Moat Scoring'!G8</f>
        <v>3.55</v>
      </c>
      <c r="F12" s="13">
        <f>'Moat Scoring'!M8</f>
        <v>2.95</v>
      </c>
      <c r="G12" s="13">
        <f>'Moat Scoring'!N8</f>
        <v>0.59999999999999964</v>
      </c>
      <c r="H12" s="13" t="str">
        <f>'Moat Scoring'!O8</f>
        <v>LOW-MEDIUM</v>
      </c>
      <c r="I12" s="13" t="str">
        <f>'Business Model Risk'!G8</f>
        <v>Judgment Moat</v>
      </c>
      <c r="J12" s="13">
        <f>'Moat Scoring'!P8</f>
        <v>18</v>
      </c>
      <c r="K12" s="13">
        <f>'Moat Scoring'!Q8</f>
        <v>14</v>
      </c>
      <c r="L12" s="13">
        <f>'Moat Scoring'!R8</f>
        <v>100</v>
      </c>
      <c r="M12" s="13">
        <f>'Moat Scoring'!T8</f>
        <v>6.7459135557133711</v>
      </c>
      <c r="N12" s="13">
        <f>'Moat Scoring'!U8</f>
        <v>6.74591355571338</v>
      </c>
    </row>
    <row r="13" spans="1:14" ht="15" customHeight="1" x14ac:dyDescent="0.25">
      <c r="A13" s="12" t="str">
        <f>'Portfolio Input'!A9</f>
        <v>AMZN</v>
      </c>
      <c r="B13" s="12" t="str">
        <f>'Portfolio Input'!B9</f>
        <v>AMAZON.COM INC</v>
      </c>
      <c r="C13" s="13" t="str">
        <f>'Portfolio Input'!C9</f>
        <v>Consumer Discretionary</v>
      </c>
      <c r="D13" s="13" t="str">
        <f>'Portfolio Input'!D9</f>
        <v>Broadline Retail</v>
      </c>
      <c r="E13" s="13">
        <f>'Moat Scoring'!G9</f>
        <v>2.1</v>
      </c>
      <c r="F13" s="13">
        <f>'Moat Scoring'!M9</f>
        <v>3.25</v>
      </c>
      <c r="G13" s="13">
        <f>'Moat Scoring'!N9</f>
        <v>-1.1499999999999999</v>
      </c>
      <c r="H13" s="13" t="str">
        <f>'Moat Scoring'!O9</f>
        <v>HIGH</v>
      </c>
      <c r="I13" s="13">
        <f>'Business Model Risk'!G9</f>
        <v>0</v>
      </c>
      <c r="J13" s="13">
        <f>'Moat Scoring'!P9</f>
        <v>7</v>
      </c>
      <c r="K13" s="13">
        <f>'Moat Scoring'!Q9</f>
        <v>5</v>
      </c>
      <c r="L13" s="13">
        <f>'Moat Scoring'!R9</f>
        <v>150</v>
      </c>
      <c r="M13" s="13">
        <f>'Moat Scoring'!T9</f>
        <v>9.0036303082896083</v>
      </c>
      <c r="N13" s="13">
        <f>'Moat Scoring'!U9</f>
        <v>13.505445462434402</v>
      </c>
    </row>
    <row r="14" spans="1:14" ht="15" customHeight="1" x14ac:dyDescent="0.25">
      <c r="A14" s="12" t="str">
        <f>'Portfolio Input'!A10</f>
        <v>META</v>
      </c>
      <c r="B14" s="12" t="str">
        <f>'Portfolio Input'!B10</f>
        <v>META PLATFORMS INC-CLASS A</v>
      </c>
      <c r="C14" s="13" t="str">
        <f>'Portfolio Input'!C10</f>
        <v>Communication Services</v>
      </c>
      <c r="D14" s="13" t="str">
        <f>'Portfolio Input'!D10</f>
        <v>Interactive Media &amp; Services</v>
      </c>
      <c r="E14" s="13">
        <f>'Moat Scoring'!G10</f>
        <v>3.5</v>
      </c>
      <c r="F14" s="13">
        <f>'Moat Scoring'!M10</f>
        <v>3.3000000000000003</v>
      </c>
      <c r="G14" s="13">
        <f>'Moat Scoring'!N10</f>
        <v>0.19999999999999973</v>
      </c>
      <c r="H14" s="13" t="str">
        <f>'Moat Scoring'!O10</f>
        <v>MEDIUM</v>
      </c>
      <c r="I14" s="13">
        <f>'Business Model Risk'!G10</f>
        <v>0</v>
      </c>
      <c r="J14" s="13">
        <f>'Moat Scoring'!P10</f>
        <v>18</v>
      </c>
      <c r="K14" s="13">
        <f>'Moat Scoring'!Q10</f>
        <v>13</v>
      </c>
      <c r="L14" s="13">
        <f>'Moat Scoring'!R10</f>
        <v>150</v>
      </c>
      <c r="M14" s="13">
        <f>'Moat Scoring'!T10</f>
        <v>9.5838096574751823</v>
      </c>
      <c r="N14" s="13">
        <f>'Moat Scoring'!U10</f>
        <v>14.375714486212782</v>
      </c>
    </row>
    <row r="15" spans="1:14" ht="15" customHeight="1" x14ac:dyDescent="0.25">
      <c r="A15" s="12" t="str">
        <f>'Portfolio Input'!A11</f>
        <v>V</v>
      </c>
      <c r="B15" s="12" t="str">
        <f>'Portfolio Input'!B11</f>
        <v>VISA INC-CLASS A SHARES</v>
      </c>
      <c r="C15" s="13" t="str">
        <f>'Portfolio Input'!C11</f>
        <v>Financials</v>
      </c>
      <c r="D15" s="13" t="str">
        <f>'Portfolio Input'!D11</f>
        <v>Transaction &amp; Payment Processi</v>
      </c>
      <c r="E15" s="13">
        <f>'Moat Scoring'!G11</f>
        <v>2.8</v>
      </c>
      <c r="F15" s="13">
        <f>'Moat Scoring'!M11</f>
        <v>4.0999999999999996</v>
      </c>
      <c r="G15" s="13">
        <f>'Moat Scoring'!N11</f>
        <v>-1.2999999999999998</v>
      </c>
      <c r="H15" s="13" t="str">
        <f>'Moat Scoring'!O11</f>
        <v>HIGH</v>
      </c>
      <c r="I15" s="13" t="str">
        <f>'Business Model Risk'!G11</f>
        <v>Action Moat</v>
      </c>
      <c r="J15" s="13">
        <f>'Moat Scoring'!P11</f>
        <v>10</v>
      </c>
      <c r="K15" s="13">
        <f>'Moat Scoring'!Q11</f>
        <v>6</v>
      </c>
      <c r="L15" s="13">
        <f>'Moat Scoring'!R11</f>
        <v>300</v>
      </c>
      <c r="M15" s="13">
        <f>'Moat Scoring'!T11</f>
        <v>10.774321209458911</v>
      </c>
      <c r="N15" s="13">
        <f>'Moat Scoring'!U11</f>
        <v>32.322963628376726</v>
      </c>
    </row>
    <row r="16" spans="1:14" ht="15" customHeight="1" x14ac:dyDescent="0.25">
      <c r="A16" s="12" t="str">
        <f>'Portfolio Input'!A12</f>
        <v>MA</v>
      </c>
      <c r="B16" s="12" t="str">
        <f>'Portfolio Input'!B12</f>
        <v>MASTERCARD INC - A</v>
      </c>
      <c r="C16" s="13" t="str">
        <f>'Portfolio Input'!C12</f>
        <v>Financials</v>
      </c>
      <c r="D16" s="13" t="str">
        <f>'Portfolio Input'!D12</f>
        <v>Transaction &amp; Payment Processi</v>
      </c>
      <c r="E16" s="13">
        <f>'Moat Scoring'!G12</f>
        <v>2.8</v>
      </c>
      <c r="F16" s="13">
        <f>'Moat Scoring'!M12</f>
        <v>4.0999999999999996</v>
      </c>
      <c r="G16" s="13">
        <f>'Moat Scoring'!N12</f>
        <v>-1.2999999999999998</v>
      </c>
      <c r="H16" s="13" t="str">
        <f>'Moat Scoring'!O12</f>
        <v>HIGH</v>
      </c>
      <c r="I16" s="13">
        <f>'Business Model Risk'!G12</f>
        <v>0</v>
      </c>
      <c r="J16" s="13">
        <f>'Moat Scoring'!P12</f>
        <v>10</v>
      </c>
      <c r="K16" s="13">
        <f>'Moat Scoring'!Q12</f>
        <v>6</v>
      </c>
      <c r="L16" s="13">
        <f>'Moat Scoring'!R12</f>
        <v>300</v>
      </c>
      <c r="M16" s="13">
        <f>'Moat Scoring'!T12</f>
        <v>10.608292631442538</v>
      </c>
      <c r="N16" s="13">
        <f>'Moat Scoring'!U12</f>
        <v>31.824877894327621</v>
      </c>
    </row>
    <row r="17" spans="1:14" ht="15" customHeight="1" x14ac:dyDescent="0.25">
      <c r="A17" s="12" t="str">
        <f>'Portfolio Input'!A13</f>
        <v>ACN</v>
      </c>
      <c r="B17" s="12" t="str">
        <f>'Portfolio Input'!B13</f>
        <v>ACCENTURE PLC-CL A</v>
      </c>
      <c r="C17" s="13" t="str">
        <f>'Portfolio Input'!C13</f>
        <v>Information Technology</v>
      </c>
      <c r="D17" s="13" t="str">
        <f>'Portfolio Input'!D13</f>
        <v>IT Consulting &amp; Other Services</v>
      </c>
      <c r="E17" s="13">
        <f>'Moat Scoring'!G13</f>
        <v>3.55</v>
      </c>
      <c r="F17" s="13">
        <f>'Moat Scoring'!M13</f>
        <v>2.95</v>
      </c>
      <c r="G17" s="13">
        <f>'Moat Scoring'!N13</f>
        <v>0.59999999999999964</v>
      </c>
      <c r="H17" s="13" t="str">
        <f>'Moat Scoring'!O13</f>
        <v>LOW-MEDIUM</v>
      </c>
      <c r="I17" s="13" t="str">
        <f>'Business Model Risk'!G13</f>
        <v>Speed Moat</v>
      </c>
      <c r="J17" s="13">
        <f>'Moat Scoring'!P13</f>
        <v>18</v>
      </c>
      <c r="K17" s="13">
        <f>'Moat Scoring'!Q13</f>
        <v>14</v>
      </c>
      <c r="L17" s="13">
        <f>'Moat Scoring'!R13</f>
        <v>100</v>
      </c>
      <c r="M17" s="13">
        <f>'Moat Scoring'!T13</f>
        <v>15.355545451586883</v>
      </c>
      <c r="N17" s="13">
        <f>'Moat Scoring'!U13</f>
        <v>15.355545451586883</v>
      </c>
    </row>
    <row r="18" spans="1:14" ht="15" customHeight="1" x14ac:dyDescent="0.25">
      <c r="A18" s="12" t="str">
        <f>'Portfolio Input'!A14</f>
        <v>CRM</v>
      </c>
      <c r="B18" s="12" t="str">
        <f>'Portfolio Input'!B14</f>
        <v>SALESFORCE INC</v>
      </c>
      <c r="C18" s="13" t="str">
        <f>'Portfolio Input'!C14</f>
        <v>Information Technology</v>
      </c>
      <c r="D18" s="13" t="str">
        <f>'Portfolio Input'!D14</f>
        <v>Application Software</v>
      </c>
      <c r="E18" s="13">
        <f>'Moat Scoring'!G14</f>
        <v>3.55</v>
      </c>
      <c r="F18" s="13">
        <f>'Moat Scoring'!M14</f>
        <v>2.95</v>
      </c>
      <c r="G18" s="13">
        <f>'Moat Scoring'!N14</f>
        <v>0.59999999999999964</v>
      </c>
      <c r="H18" s="13" t="str">
        <f>'Moat Scoring'!O14</f>
        <v>LOW-MEDIUM</v>
      </c>
      <c r="I18" s="13" t="str">
        <f>'Business Model Risk'!G14</f>
        <v>Speed Moat</v>
      </c>
      <c r="J18" s="13">
        <f>'Moat Scoring'!P14</f>
        <v>18</v>
      </c>
      <c r="K18" s="13">
        <f>'Moat Scoring'!Q14</f>
        <v>14</v>
      </c>
      <c r="L18" s="13">
        <f>'Moat Scoring'!R14</f>
        <v>100</v>
      </c>
      <c r="M18" s="13">
        <f>'Moat Scoring'!T14</f>
        <v>9.8291884704339267</v>
      </c>
      <c r="N18" s="13">
        <f>'Moat Scoring'!U14</f>
        <v>9.8291884704339338</v>
      </c>
    </row>
    <row r="19" spans="1:14" ht="15" customHeight="1" x14ac:dyDescent="0.25">
      <c r="A19" s="12" t="str">
        <f>'Portfolio Input'!A15</f>
        <v>ADBE</v>
      </c>
      <c r="B19" s="12" t="str">
        <f>'Portfolio Input'!B15</f>
        <v>ADOBE INC</v>
      </c>
      <c r="C19" s="13" t="str">
        <f>'Portfolio Input'!C15</f>
        <v>Information Technology</v>
      </c>
      <c r="D19" s="13" t="str">
        <f>'Portfolio Input'!D15</f>
        <v>Application Software</v>
      </c>
      <c r="E19" s="13">
        <f>'Moat Scoring'!G15</f>
        <v>3.55</v>
      </c>
      <c r="F19" s="13">
        <f>'Moat Scoring'!M15</f>
        <v>2.95</v>
      </c>
      <c r="G19" s="13">
        <f>'Moat Scoring'!N15</f>
        <v>0.59999999999999964</v>
      </c>
      <c r="H19" s="13" t="str">
        <f>'Moat Scoring'!O15</f>
        <v>LOW-MEDIUM</v>
      </c>
      <c r="I19" s="13">
        <f>'Business Model Risk'!G15</f>
        <v>0</v>
      </c>
      <c r="J19" s="13">
        <f>'Moat Scoring'!P15</f>
        <v>18</v>
      </c>
      <c r="K19" s="13">
        <f>'Moat Scoring'!Q15</f>
        <v>14</v>
      </c>
      <c r="L19" s="13">
        <f>'Moat Scoring'!R15</f>
        <v>100</v>
      </c>
      <c r="M19" s="13">
        <f>'Moat Scoring'!T15</f>
        <v>11.71076326677483</v>
      </c>
      <c r="N19" s="13">
        <f>'Moat Scoring'!U15</f>
        <v>11.71076326677483</v>
      </c>
    </row>
    <row r="20" spans="1:14" ht="15" customHeight="1" x14ac:dyDescent="0.25">
      <c r="A20" s="12" t="str">
        <f>'Portfolio Input'!A16</f>
        <v>NOW</v>
      </c>
      <c r="B20" s="12" t="str">
        <f>'Portfolio Input'!B16</f>
        <v>SERVICENOW INC</v>
      </c>
      <c r="C20" s="13" t="str">
        <f>'Portfolio Input'!C16</f>
        <v>Information Technology</v>
      </c>
      <c r="D20" s="13" t="str">
        <f>'Portfolio Input'!D16</f>
        <v>Systems Software</v>
      </c>
      <c r="E20" s="13">
        <f>'Moat Scoring'!G16</f>
        <v>3.55</v>
      </c>
      <c r="F20" s="13">
        <f>'Moat Scoring'!M16</f>
        <v>2.95</v>
      </c>
      <c r="G20" s="13">
        <f>'Moat Scoring'!N16</f>
        <v>0.59999999999999964</v>
      </c>
      <c r="H20" s="13" t="str">
        <f>'Moat Scoring'!O16</f>
        <v>LOW-MEDIUM</v>
      </c>
      <c r="I20" s="13">
        <f>'Business Model Risk'!G16</f>
        <v>0</v>
      </c>
      <c r="J20" s="13">
        <f>'Moat Scoring'!P16</f>
        <v>18</v>
      </c>
      <c r="K20" s="13">
        <f>'Moat Scoring'!Q16</f>
        <v>14</v>
      </c>
      <c r="L20" s="13">
        <f>'Moat Scoring'!R16</f>
        <v>100</v>
      </c>
      <c r="M20" s="13">
        <f>'Moat Scoring'!T16</f>
        <v>9.483229358924337</v>
      </c>
      <c r="N20" s="13">
        <f>'Moat Scoring'!U16</f>
        <v>9.4832293589243424</v>
      </c>
    </row>
    <row r="21" spans="1:14" ht="15" customHeight="1" x14ac:dyDescent="0.25">
      <c r="A21" s="12" t="str">
        <f>'Portfolio Input'!A17</f>
        <v>WU</v>
      </c>
      <c r="B21" s="12" t="str">
        <f>'Portfolio Input'!B17</f>
        <v>WESTERN UNION CO</v>
      </c>
      <c r="C21" s="13" t="str">
        <f>'Portfolio Input'!C17</f>
        <v>Financials</v>
      </c>
      <c r="D21" s="13" t="str">
        <f>'Portfolio Input'!D17</f>
        <v>Transaction &amp; Payment Processi</v>
      </c>
      <c r="E21" s="13">
        <f>'Moat Scoring'!G17</f>
        <v>2.8</v>
      </c>
      <c r="F21" s="13">
        <f>'Moat Scoring'!M17</f>
        <v>4.0999999999999996</v>
      </c>
      <c r="G21" s="13">
        <f>'Moat Scoring'!N17</f>
        <v>-1.2999999999999998</v>
      </c>
      <c r="H21" s="13" t="str">
        <f>'Moat Scoring'!O17</f>
        <v>HIGH</v>
      </c>
      <c r="I21" s="13" t="str">
        <f>'Business Model Risk'!G17</f>
        <v>No Durable Moat</v>
      </c>
      <c r="J21" s="13">
        <f>'Moat Scoring'!P17</f>
        <v>10</v>
      </c>
      <c r="K21" s="13">
        <f>'Moat Scoring'!Q17</f>
        <v>6</v>
      </c>
      <c r="L21" s="13">
        <f>'Moat Scoring'!R17</f>
        <v>300</v>
      </c>
      <c r="M21" s="13">
        <f>'Moat Scoring'!T17</f>
        <v>13.219438508832749</v>
      </c>
      <c r="N21" s="13">
        <f>'Moat Scoring'!U17</f>
        <v>39.658315526498242</v>
      </c>
    </row>
    <row r="22" spans="1:14" ht="15" customHeight="1" x14ac:dyDescent="0.25">
      <c r="A22" s="12" t="str">
        <f>'Portfolio Input'!A18</f>
        <v>INFY</v>
      </c>
      <c r="B22" s="12" t="str">
        <f>'Portfolio Input'!B18</f>
        <v>INFOSYS LTD-SP ADR</v>
      </c>
      <c r="C22" s="13" t="str">
        <f>'Portfolio Input'!C18</f>
        <v>Information Technology</v>
      </c>
      <c r="D22" s="13" t="str">
        <f>'Portfolio Input'!D18</f>
        <v>IT Consulting &amp; Other Services</v>
      </c>
      <c r="E22" s="13">
        <f>'Moat Scoring'!G18</f>
        <v>3.55</v>
      </c>
      <c r="F22" s="13">
        <f>'Moat Scoring'!M18</f>
        <v>2.95</v>
      </c>
      <c r="G22" s="13">
        <f>'Moat Scoring'!N18</f>
        <v>0.59999999999999964</v>
      </c>
      <c r="H22" s="13" t="str">
        <f>'Moat Scoring'!O18</f>
        <v>LOW-MEDIUM</v>
      </c>
      <c r="I22" s="13">
        <f>'Business Model Risk'!G18</f>
        <v>0</v>
      </c>
      <c r="J22" s="13">
        <f>'Moat Scoring'!P18</f>
        <v>18</v>
      </c>
      <c r="K22" s="13">
        <f>'Moat Scoring'!Q18</f>
        <v>14</v>
      </c>
      <c r="L22" s="13">
        <f>'Moat Scoring'!R18</f>
        <v>100</v>
      </c>
      <c r="M22" s="13">
        <f>'Moat Scoring'!T18</f>
        <v>14.237749455155793</v>
      </c>
      <c r="N22" s="13">
        <f>'Moat Scoring'!U18</f>
        <v>14.237749455155772</v>
      </c>
    </row>
    <row r="23" spans="1:14" ht="15" customHeight="1" x14ac:dyDescent="0.25">
      <c r="A23" s="12" t="str">
        <f>'Portfolio Input'!A19</f>
        <v>UNH</v>
      </c>
      <c r="B23" s="12" t="str">
        <f>'Portfolio Input'!B19</f>
        <v>UNITEDHEALTH GROUP INC</v>
      </c>
      <c r="C23" s="13" t="str">
        <f>'Portfolio Input'!C19</f>
        <v>Health Care</v>
      </c>
      <c r="D23" s="13" t="str">
        <f>'Portfolio Input'!D19</f>
        <v>Managed Health Care</v>
      </c>
      <c r="E23" s="13">
        <f>'Moat Scoring'!G19</f>
        <v>2.95</v>
      </c>
      <c r="F23" s="13">
        <f>'Moat Scoring'!M19</f>
        <v>2.2000000000000002</v>
      </c>
      <c r="G23" s="13">
        <f>'Moat Scoring'!N19</f>
        <v>0.75</v>
      </c>
      <c r="H23" s="13" t="str">
        <f>'Moat Scoring'!O19</f>
        <v>LOW-MEDIUM</v>
      </c>
      <c r="I23" s="13">
        <f>'Business Model Risk'!G19</f>
        <v>0</v>
      </c>
      <c r="J23" s="13">
        <f>'Moat Scoring'!P19</f>
        <v>10</v>
      </c>
      <c r="K23" s="13">
        <f>'Moat Scoring'!Q19</f>
        <v>9</v>
      </c>
      <c r="L23" s="13">
        <f>'Moat Scoring'!R19</f>
        <v>50</v>
      </c>
      <c r="M23" s="13">
        <f>'Moat Scoring'!T19</f>
        <v>27.626691914207367</v>
      </c>
      <c r="N23" s="13">
        <f>'Moat Scoring'!U19</f>
        <v>13.813345957103657</v>
      </c>
    </row>
    <row r="24" spans="1:14" ht="15" customHeight="1" x14ac:dyDescent="0.25">
      <c r="A24" s="12" t="str">
        <f>'Portfolio Input'!A20</f>
        <v>JPM</v>
      </c>
      <c r="B24" s="12" t="str">
        <f>'Portfolio Input'!B20</f>
        <v>JPMORGAN CHASE &amp; CO</v>
      </c>
      <c r="C24" s="13" t="str">
        <f>'Portfolio Input'!C20</f>
        <v>Financials</v>
      </c>
      <c r="D24" s="13" t="str">
        <f>'Portfolio Input'!D20</f>
        <v>Diversified Banks</v>
      </c>
      <c r="E24" s="13">
        <f>'Moat Scoring'!G20</f>
        <v>2.8</v>
      </c>
      <c r="F24" s="13">
        <f>'Moat Scoring'!M20</f>
        <v>4.0999999999999996</v>
      </c>
      <c r="G24" s="13">
        <f>'Moat Scoring'!N20</f>
        <v>-1.2999999999999998</v>
      </c>
      <c r="H24" s="13" t="str">
        <f>'Moat Scoring'!O20</f>
        <v>HIGH</v>
      </c>
      <c r="I24" s="13">
        <f>'Business Model Risk'!G20</f>
        <v>0</v>
      </c>
      <c r="J24" s="13">
        <f>'Moat Scoring'!P20</f>
        <v>10</v>
      </c>
      <c r="K24" s="13">
        <f>'Moat Scoring'!Q20</f>
        <v>6</v>
      </c>
      <c r="L24" s="13">
        <f>'Moat Scoring'!R20</f>
        <v>300</v>
      </c>
      <c r="M24" s="13">
        <f>'Moat Scoring'!T20</f>
        <v>8.7425470871057804</v>
      </c>
      <c r="N24" s="13">
        <f>'Moat Scoring'!U20</f>
        <v>26.227641261317338</v>
      </c>
    </row>
    <row r="25" spans="1:14" ht="15" customHeight="1" x14ac:dyDescent="0.25">
      <c r="A25" s="12" t="str">
        <f>'Portfolio Input'!A21</f>
        <v>BLK</v>
      </c>
      <c r="B25" s="12" t="str">
        <f>'Portfolio Input'!B21</f>
        <v>BLACKROCK INC</v>
      </c>
      <c r="C25" s="13" t="str">
        <f>'Portfolio Input'!C21</f>
        <v>Financials</v>
      </c>
      <c r="D25" s="13" t="str">
        <f>'Portfolio Input'!D21</f>
        <v>Asset Management &amp; Custody Ban</v>
      </c>
      <c r="E25" s="13">
        <f>'Moat Scoring'!G21</f>
        <v>2.8</v>
      </c>
      <c r="F25" s="13">
        <f>'Moat Scoring'!M21</f>
        <v>4.0999999999999996</v>
      </c>
      <c r="G25" s="13">
        <f>'Moat Scoring'!N21</f>
        <v>-1.2999999999999998</v>
      </c>
      <c r="H25" s="13" t="str">
        <f>'Moat Scoring'!O21</f>
        <v>HIGH</v>
      </c>
      <c r="I25" s="13">
        <f>'Business Model Risk'!G21</f>
        <v>0</v>
      </c>
      <c r="J25" s="13">
        <f>'Moat Scoring'!P21</f>
        <v>10</v>
      </c>
      <c r="K25" s="13">
        <f>'Moat Scoring'!Q21</f>
        <v>6</v>
      </c>
      <c r="L25" s="13">
        <f>'Moat Scoring'!R21</f>
        <v>300</v>
      </c>
      <c r="M25" s="13">
        <f>'Moat Scoring'!T21</f>
        <v>9.2583212338610181</v>
      </c>
      <c r="N25" s="13">
        <f>'Moat Scoring'!U21</f>
        <v>27.774963701583065</v>
      </c>
    </row>
    <row r="26" spans="1:14" ht="15" customHeight="1" x14ac:dyDescent="0.25">
      <c r="A26" s="12" t="str">
        <f>'Portfolio Input'!A22</f>
        <v>LLY</v>
      </c>
      <c r="B26" s="12" t="str">
        <f>'Portfolio Input'!B22</f>
        <v>ELI LILLY &amp; CO</v>
      </c>
      <c r="C26" s="13" t="str">
        <f>'Portfolio Input'!C22</f>
        <v>Health Care</v>
      </c>
      <c r="D26" s="13" t="str">
        <f>'Portfolio Input'!D22</f>
        <v>Pharmaceuticals</v>
      </c>
      <c r="E26" s="13">
        <f>'Moat Scoring'!G22</f>
        <v>2.95</v>
      </c>
      <c r="F26" s="13">
        <f>'Moat Scoring'!M22</f>
        <v>2.2000000000000002</v>
      </c>
      <c r="G26" s="13">
        <f>'Moat Scoring'!N22</f>
        <v>0.75</v>
      </c>
      <c r="H26" s="13" t="str">
        <f>'Moat Scoring'!O22</f>
        <v>LOW-MEDIUM</v>
      </c>
      <c r="I26" s="13">
        <f>'Business Model Risk'!G22</f>
        <v>0</v>
      </c>
      <c r="J26" s="13">
        <f>'Moat Scoring'!P22</f>
        <v>10</v>
      </c>
      <c r="K26" s="13">
        <f>'Moat Scoring'!Q22</f>
        <v>9</v>
      </c>
      <c r="L26" s="13">
        <f>'Moat Scoring'!R22</f>
        <v>50</v>
      </c>
      <c r="M26" s="13">
        <f>'Moat Scoring'!T22</f>
        <v>15.699484943996136</v>
      </c>
      <c r="N26" s="13">
        <f>'Moat Scoring'!U22</f>
        <v>7.8497424719980682</v>
      </c>
    </row>
    <row r="27" spans="1:14" ht="15" customHeight="1" x14ac:dyDescent="0.25">
      <c r="A27" s="12" t="str">
        <f>'Portfolio Input'!A23</f>
        <v>XOM</v>
      </c>
      <c r="B27" s="12" t="str">
        <f>'Portfolio Input'!B23</f>
        <v>EXXON MOBIL CORP</v>
      </c>
      <c r="C27" s="13" t="str">
        <f>'Portfolio Input'!C23</f>
        <v>Energy</v>
      </c>
      <c r="D27" s="13" t="str">
        <f>'Portfolio Input'!D23</f>
        <v>Integrated Oil &amp; Gas</v>
      </c>
      <c r="E27" s="13">
        <f>'Moat Scoring'!G23</f>
        <v>2.15</v>
      </c>
      <c r="F27" s="13">
        <f>'Moat Scoring'!M23</f>
        <v>1</v>
      </c>
      <c r="G27" s="13">
        <f>'Moat Scoring'!N23</f>
        <v>1.1499999999999999</v>
      </c>
      <c r="H27" s="13" t="str">
        <f>'Moat Scoring'!O23</f>
        <v>LOW-MEDIUM</v>
      </c>
      <c r="I27" s="13">
        <f>'Business Model Risk'!G23</f>
        <v>0</v>
      </c>
      <c r="J27" s="13">
        <f>'Moat Scoring'!P23</f>
        <v>7</v>
      </c>
      <c r="K27" s="13">
        <f>'Moat Scoring'!Q23</f>
        <v>7</v>
      </c>
      <c r="L27" s="13">
        <f>'Moat Scoring'!R23</f>
        <v>0</v>
      </c>
      <c r="M27" s="13">
        <f>'Moat Scoring'!T23</f>
        <v>25.217780310267855</v>
      </c>
      <c r="N27" s="13">
        <f>'Moat Scoring'!U23</f>
        <v>0</v>
      </c>
    </row>
    <row r="28" spans="1:14" ht="15" customHeight="1" x14ac:dyDescent="0.25">
      <c r="A28" s="12" t="str">
        <f>'Portfolio Input'!A24</f>
        <v>NEE</v>
      </c>
      <c r="B28" s="12" t="str">
        <f>'Portfolio Input'!B24</f>
        <v>NEXTERA ENERGY INC</v>
      </c>
      <c r="C28" s="13" t="str">
        <f>'Portfolio Input'!C24</f>
        <v>Utilities</v>
      </c>
      <c r="D28" s="13" t="str">
        <f>'Portfolio Input'!D24</f>
        <v>Electric Utilities</v>
      </c>
      <c r="E28" s="13">
        <f>'Moat Scoring'!G24</f>
        <v>2.65</v>
      </c>
      <c r="F28" s="13">
        <f>'Moat Scoring'!M24</f>
        <v>1</v>
      </c>
      <c r="G28" s="13">
        <f>'Moat Scoring'!N24</f>
        <v>1.65</v>
      </c>
      <c r="H28" s="13" t="str">
        <f>'Moat Scoring'!O24</f>
        <v>LOW</v>
      </c>
      <c r="I28" s="13">
        <f>'Business Model Risk'!G24</f>
        <v>0</v>
      </c>
      <c r="J28" s="13">
        <f>'Moat Scoring'!P24</f>
        <v>10</v>
      </c>
      <c r="K28" s="13">
        <f>'Moat Scoring'!Q24</f>
        <v>10</v>
      </c>
      <c r="L28" s="13">
        <f>'Moat Scoring'!R24</f>
        <v>0</v>
      </c>
      <c r="M28" s="13">
        <f>'Moat Scoring'!T24</f>
        <v>22.638432741460104</v>
      </c>
      <c r="N28" s="13">
        <f>'Moat Scoring'!U24</f>
        <v>0</v>
      </c>
    </row>
    <row r="29" spans="1:14" ht="15" customHeight="1" x14ac:dyDescent="0.25">
      <c r="A29" s="12" t="str">
        <f>'Portfolio Input'!A25</f>
        <v>GAP</v>
      </c>
      <c r="B29" s="12" t="str">
        <f>'Portfolio Input'!B25</f>
        <v>GAP INC/THE</v>
      </c>
      <c r="C29" s="13" t="str">
        <f>'Portfolio Input'!C25</f>
        <v>Consumer Discretionary</v>
      </c>
      <c r="D29" s="13" t="str">
        <f>'Portfolio Input'!D25</f>
        <v>Apparel Retail</v>
      </c>
      <c r="E29" s="13">
        <f>'Moat Scoring'!G25</f>
        <v>2.1</v>
      </c>
      <c r="F29" s="13">
        <f>'Moat Scoring'!M25</f>
        <v>3.25</v>
      </c>
      <c r="G29" s="13">
        <f>'Moat Scoring'!N25</f>
        <v>-1.1499999999999999</v>
      </c>
      <c r="H29" s="13" t="str">
        <f>'Moat Scoring'!O25</f>
        <v>HIGH</v>
      </c>
      <c r="I29" s="13">
        <f>'Business Model Risk'!G25</f>
        <v>0</v>
      </c>
      <c r="J29" s="13">
        <f>'Moat Scoring'!P25</f>
        <v>7</v>
      </c>
      <c r="K29" s="13">
        <f>'Moat Scoring'!Q25</f>
        <v>5</v>
      </c>
      <c r="L29" s="13">
        <f>'Moat Scoring'!R25</f>
        <v>150</v>
      </c>
      <c r="M29" s="13">
        <f>'Moat Scoring'!T25</f>
        <v>9.8064609471711215</v>
      </c>
      <c r="N29" s="13">
        <f>'Moat Scoring'!U25</f>
        <v>14.709691420756677</v>
      </c>
    </row>
    <row r="30" spans="1:14" ht="15" customHeight="1" x14ac:dyDescent="0.25">
      <c r="A30" s="12">
        <f>'Portfolio Input'!A26</f>
        <v>0</v>
      </c>
      <c r="B30" s="12" t="str">
        <f>'Portfolio Input'!B26</f>
        <v/>
      </c>
      <c r="C30" s="13" t="str">
        <f>'Portfolio Input'!C26</f>
        <v/>
      </c>
      <c r="D30" s="13" t="str">
        <f>'Portfolio Input'!D26</f>
        <v/>
      </c>
      <c r="E30" s="13" t="str">
        <f>'Moat Scoring'!G26</f>
        <v/>
      </c>
      <c r="F30" s="13" t="e">
        <f>'Moat Scoring'!M26</f>
        <v>#VALUE!</v>
      </c>
      <c r="G30" s="13" t="e">
        <f>'Moat Scoring'!N26</f>
        <v>#VALUE!</v>
      </c>
      <c r="H30" s="13" t="e">
        <f>'Moat Scoring'!O26</f>
        <v>#VALUE!</v>
      </c>
      <c r="I30" s="13">
        <f>'Business Model Risk'!G26</f>
        <v>0</v>
      </c>
      <c r="J30" s="13">
        <f>'Moat Scoring'!P26</f>
        <v>22</v>
      </c>
      <c r="K30" s="13" t="e">
        <f>'Moat Scoring'!Q26</f>
        <v>#VALUE!</v>
      </c>
      <c r="L30" s="13" t="e">
        <f>'Moat Scoring'!R26</f>
        <v>#VALUE!</v>
      </c>
      <c r="M30" s="13" t="e">
        <f>'Moat Scoring'!T26</f>
        <v>#VALUE!</v>
      </c>
      <c r="N30" s="13" t="e">
        <f>'Moat Scoring'!U26</f>
        <v>#VALUE!</v>
      </c>
    </row>
    <row r="31" spans="1:14" ht="15" customHeight="1" x14ac:dyDescent="0.25">
      <c r="A31" s="12">
        <f>'Portfolio Input'!A27</f>
        <v>0</v>
      </c>
      <c r="B31" s="12" t="str">
        <f>'Portfolio Input'!B27</f>
        <v/>
      </c>
      <c r="C31" s="13" t="str">
        <f>'Portfolio Input'!C27</f>
        <v/>
      </c>
      <c r="D31" s="13" t="str">
        <f>'Portfolio Input'!D27</f>
        <v/>
      </c>
      <c r="E31" s="13" t="str">
        <f>'Moat Scoring'!G27</f>
        <v/>
      </c>
      <c r="F31" s="13" t="e">
        <f>'Moat Scoring'!M27</f>
        <v>#VALUE!</v>
      </c>
      <c r="G31" s="13" t="e">
        <f>'Moat Scoring'!N27</f>
        <v>#VALUE!</v>
      </c>
      <c r="H31" s="13" t="e">
        <f>'Moat Scoring'!O27</f>
        <v>#VALUE!</v>
      </c>
      <c r="I31" s="13">
        <f>'Business Model Risk'!G27</f>
        <v>0</v>
      </c>
      <c r="J31" s="13">
        <f>'Moat Scoring'!P27</f>
        <v>22</v>
      </c>
      <c r="K31" s="13" t="e">
        <f>'Moat Scoring'!Q27</f>
        <v>#VALUE!</v>
      </c>
      <c r="L31" s="13" t="e">
        <f>'Moat Scoring'!R27</f>
        <v>#VALUE!</v>
      </c>
      <c r="M31" s="13" t="e">
        <f>'Moat Scoring'!T27</f>
        <v>#VALUE!</v>
      </c>
      <c r="N31" s="13" t="e">
        <f>'Moat Scoring'!U27</f>
        <v>#VALUE!</v>
      </c>
    </row>
    <row r="32" spans="1:14" ht="15" customHeight="1" x14ac:dyDescent="0.25">
      <c r="A32" s="12">
        <f>'Portfolio Input'!A28</f>
        <v>0</v>
      </c>
      <c r="B32" s="12" t="str">
        <f>'Portfolio Input'!B28</f>
        <v/>
      </c>
      <c r="C32" s="13" t="str">
        <f>'Portfolio Input'!C28</f>
        <v/>
      </c>
      <c r="D32" s="13" t="str">
        <f>'Portfolio Input'!D28</f>
        <v/>
      </c>
      <c r="E32" s="13" t="str">
        <f>'Moat Scoring'!G28</f>
        <v/>
      </c>
      <c r="F32" s="13" t="e">
        <f>'Moat Scoring'!M28</f>
        <v>#VALUE!</v>
      </c>
      <c r="G32" s="13" t="e">
        <f>'Moat Scoring'!N28</f>
        <v>#VALUE!</v>
      </c>
      <c r="H32" s="13" t="e">
        <f>'Moat Scoring'!O28</f>
        <v>#VALUE!</v>
      </c>
      <c r="I32" s="13">
        <f>'Business Model Risk'!G28</f>
        <v>0</v>
      </c>
      <c r="J32" s="13">
        <f>'Moat Scoring'!P28</f>
        <v>22</v>
      </c>
      <c r="K32" s="13" t="e">
        <f>'Moat Scoring'!Q28</f>
        <v>#VALUE!</v>
      </c>
      <c r="L32" s="13" t="e">
        <f>'Moat Scoring'!R28</f>
        <v>#VALUE!</v>
      </c>
      <c r="M32" s="13" t="e">
        <f>'Moat Scoring'!T28</f>
        <v>#VALUE!</v>
      </c>
      <c r="N32" s="13" t="e">
        <f>'Moat Scoring'!U28</f>
        <v>#VALUE!</v>
      </c>
    </row>
    <row r="33" spans="1:14" ht="15" customHeight="1" x14ac:dyDescent="0.25">
      <c r="A33" s="12">
        <f>'Portfolio Input'!A29</f>
        <v>0</v>
      </c>
      <c r="B33" s="12" t="str">
        <f>'Portfolio Input'!B29</f>
        <v/>
      </c>
      <c r="C33" s="13" t="str">
        <f>'Portfolio Input'!C29</f>
        <v/>
      </c>
      <c r="D33" s="13" t="str">
        <f>'Portfolio Input'!D29</f>
        <v/>
      </c>
      <c r="E33" s="13" t="str">
        <f>'Moat Scoring'!G29</f>
        <v/>
      </c>
      <c r="F33" s="13" t="e">
        <f>'Moat Scoring'!M29</f>
        <v>#VALUE!</v>
      </c>
      <c r="G33" s="13" t="e">
        <f>'Moat Scoring'!N29</f>
        <v>#VALUE!</v>
      </c>
      <c r="H33" s="13" t="e">
        <f>'Moat Scoring'!O29</f>
        <v>#VALUE!</v>
      </c>
      <c r="I33" s="13">
        <f>'Business Model Risk'!G29</f>
        <v>0</v>
      </c>
      <c r="J33" s="13">
        <f>'Moat Scoring'!P29</f>
        <v>22</v>
      </c>
      <c r="K33" s="13" t="e">
        <f>'Moat Scoring'!Q29</f>
        <v>#VALUE!</v>
      </c>
      <c r="L33" s="13" t="e">
        <f>'Moat Scoring'!R29</f>
        <v>#VALUE!</v>
      </c>
      <c r="M33" s="13" t="e">
        <f>'Moat Scoring'!T29</f>
        <v>#VALUE!</v>
      </c>
      <c r="N33" s="13" t="e">
        <f>'Moat Scoring'!U29</f>
        <v>#VALUE!</v>
      </c>
    </row>
    <row r="34" spans="1:14" ht="15" customHeight="1" x14ac:dyDescent="0.25">
      <c r="A34" s="12">
        <f>'Portfolio Input'!A30</f>
        <v>0</v>
      </c>
      <c r="B34" s="12" t="str">
        <f>'Portfolio Input'!B30</f>
        <v/>
      </c>
      <c r="C34" s="13" t="str">
        <f>'Portfolio Input'!C30</f>
        <v/>
      </c>
      <c r="D34" s="13" t="str">
        <f>'Portfolio Input'!D30</f>
        <v/>
      </c>
      <c r="E34" s="13" t="str">
        <f>'Moat Scoring'!G30</f>
        <v/>
      </c>
      <c r="F34" s="13" t="e">
        <f>'Moat Scoring'!M30</f>
        <v>#VALUE!</v>
      </c>
      <c r="G34" s="13" t="e">
        <f>'Moat Scoring'!N30</f>
        <v>#VALUE!</v>
      </c>
      <c r="H34" s="13" t="e">
        <f>'Moat Scoring'!O30</f>
        <v>#VALUE!</v>
      </c>
      <c r="I34" s="13">
        <f>'Business Model Risk'!G30</f>
        <v>0</v>
      </c>
      <c r="J34" s="13">
        <f>'Moat Scoring'!P30</f>
        <v>22</v>
      </c>
      <c r="K34" s="13" t="e">
        <f>'Moat Scoring'!Q30</f>
        <v>#VALUE!</v>
      </c>
      <c r="L34" s="13" t="e">
        <f>'Moat Scoring'!R30</f>
        <v>#VALUE!</v>
      </c>
      <c r="M34" s="13" t="e">
        <f>'Moat Scoring'!T30</f>
        <v>#VALUE!</v>
      </c>
      <c r="N34" s="13" t="e">
        <f>'Moat Scoring'!U30</f>
        <v>#VALUE!</v>
      </c>
    </row>
    <row r="35" spans="1:14" ht="15" customHeight="1" x14ac:dyDescent="0.25">
      <c r="A35" s="12">
        <f>'Portfolio Input'!A31</f>
        <v>0</v>
      </c>
      <c r="B35" s="12" t="str">
        <f>'Portfolio Input'!B31</f>
        <v/>
      </c>
      <c r="C35" s="13" t="str">
        <f>'Portfolio Input'!C31</f>
        <v/>
      </c>
      <c r="D35" s="13" t="str">
        <f>'Portfolio Input'!D31</f>
        <v/>
      </c>
      <c r="E35" s="13" t="str">
        <f>'Moat Scoring'!G31</f>
        <v/>
      </c>
      <c r="F35" s="13" t="e">
        <f>'Moat Scoring'!M31</f>
        <v>#VALUE!</v>
      </c>
      <c r="G35" s="13" t="e">
        <f>'Moat Scoring'!N31</f>
        <v>#VALUE!</v>
      </c>
      <c r="H35" s="13" t="e">
        <f>'Moat Scoring'!O31</f>
        <v>#VALUE!</v>
      </c>
      <c r="I35" s="13">
        <f>'Business Model Risk'!G31</f>
        <v>0</v>
      </c>
      <c r="J35" s="13">
        <f>'Moat Scoring'!P31</f>
        <v>22</v>
      </c>
      <c r="K35" s="13" t="e">
        <f>'Moat Scoring'!Q31</f>
        <v>#VALUE!</v>
      </c>
      <c r="L35" s="13" t="e">
        <f>'Moat Scoring'!R31</f>
        <v>#VALUE!</v>
      </c>
      <c r="M35" s="13" t="e">
        <f>'Moat Scoring'!T31</f>
        <v>#VALUE!</v>
      </c>
      <c r="N35" s="13" t="e">
        <f>'Moat Scoring'!U31</f>
        <v>#VALUE!</v>
      </c>
    </row>
    <row r="36" spans="1:14" ht="15" customHeight="1" x14ac:dyDescent="0.25">
      <c r="A36" s="12">
        <f>'Portfolio Input'!A32</f>
        <v>0</v>
      </c>
      <c r="B36" s="12" t="str">
        <f>'Portfolio Input'!B32</f>
        <v/>
      </c>
      <c r="C36" s="13" t="str">
        <f>'Portfolio Input'!C32</f>
        <v/>
      </c>
      <c r="D36" s="13" t="str">
        <f>'Portfolio Input'!D32</f>
        <v/>
      </c>
      <c r="E36" s="13" t="str">
        <f>'Moat Scoring'!G32</f>
        <v/>
      </c>
      <c r="F36" s="13" t="e">
        <f>'Moat Scoring'!M32</f>
        <v>#VALUE!</v>
      </c>
      <c r="G36" s="13" t="e">
        <f>'Moat Scoring'!N32</f>
        <v>#VALUE!</v>
      </c>
      <c r="H36" s="13" t="e">
        <f>'Moat Scoring'!O32</f>
        <v>#VALUE!</v>
      </c>
      <c r="I36" s="13">
        <f>'Business Model Risk'!G32</f>
        <v>0</v>
      </c>
      <c r="J36" s="13">
        <f>'Moat Scoring'!P32</f>
        <v>22</v>
      </c>
      <c r="K36" s="13" t="e">
        <f>'Moat Scoring'!Q32</f>
        <v>#VALUE!</v>
      </c>
      <c r="L36" s="13" t="e">
        <f>'Moat Scoring'!R32</f>
        <v>#VALUE!</v>
      </c>
      <c r="M36" s="13" t="e">
        <f>'Moat Scoring'!T32</f>
        <v>#VALUE!</v>
      </c>
      <c r="N36" s="13" t="e">
        <f>'Moat Scoring'!U32</f>
        <v>#VALUE!</v>
      </c>
    </row>
    <row r="37" spans="1:14" ht="15" customHeight="1" x14ac:dyDescent="0.25">
      <c r="A37" s="12">
        <f>'Portfolio Input'!A33</f>
        <v>0</v>
      </c>
      <c r="B37" s="12" t="str">
        <f>'Portfolio Input'!B33</f>
        <v/>
      </c>
      <c r="C37" s="13" t="str">
        <f>'Portfolio Input'!C33</f>
        <v/>
      </c>
      <c r="D37" s="13" t="str">
        <f>'Portfolio Input'!D33</f>
        <v/>
      </c>
      <c r="E37" s="13" t="str">
        <f>'Moat Scoring'!G33</f>
        <v/>
      </c>
      <c r="F37" s="13" t="e">
        <f>'Moat Scoring'!M33</f>
        <v>#VALUE!</v>
      </c>
      <c r="G37" s="13" t="e">
        <f>'Moat Scoring'!N33</f>
        <v>#VALUE!</v>
      </c>
      <c r="H37" s="13" t="e">
        <f>'Moat Scoring'!O33</f>
        <v>#VALUE!</v>
      </c>
      <c r="I37" s="13">
        <f>'Business Model Risk'!G33</f>
        <v>0</v>
      </c>
      <c r="J37" s="13">
        <f>'Moat Scoring'!P33</f>
        <v>22</v>
      </c>
      <c r="K37" s="13" t="e">
        <f>'Moat Scoring'!Q33</f>
        <v>#VALUE!</v>
      </c>
      <c r="L37" s="13" t="e">
        <f>'Moat Scoring'!R33</f>
        <v>#VALUE!</v>
      </c>
      <c r="M37" s="13" t="e">
        <f>'Moat Scoring'!T33</f>
        <v>#VALUE!</v>
      </c>
      <c r="N37" s="13" t="e">
        <f>'Moat Scoring'!U33</f>
        <v>#VALUE!</v>
      </c>
    </row>
    <row r="38" spans="1:14" ht="15" customHeight="1" x14ac:dyDescent="0.25">
      <c r="A38" s="12">
        <f>'Portfolio Input'!A34</f>
        <v>0</v>
      </c>
      <c r="B38" s="12" t="str">
        <f>'Portfolio Input'!B34</f>
        <v/>
      </c>
      <c r="C38" s="13" t="str">
        <f>'Portfolio Input'!C34</f>
        <v/>
      </c>
      <c r="D38" s="13" t="str">
        <f>'Portfolio Input'!D34</f>
        <v/>
      </c>
      <c r="E38" s="13" t="str">
        <f>'Moat Scoring'!G34</f>
        <v/>
      </c>
      <c r="F38" s="13" t="e">
        <f>'Moat Scoring'!M34</f>
        <v>#VALUE!</v>
      </c>
      <c r="G38" s="13" t="e">
        <f>'Moat Scoring'!N34</f>
        <v>#VALUE!</v>
      </c>
      <c r="H38" s="13" t="e">
        <f>'Moat Scoring'!O34</f>
        <v>#VALUE!</v>
      </c>
      <c r="I38" s="13">
        <f>'Business Model Risk'!G34</f>
        <v>0</v>
      </c>
      <c r="J38" s="13">
        <f>'Moat Scoring'!P34</f>
        <v>22</v>
      </c>
      <c r="K38" s="13" t="e">
        <f>'Moat Scoring'!Q34</f>
        <v>#VALUE!</v>
      </c>
      <c r="L38" s="13" t="e">
        <f>'Moat Scoring'!R34</f>
        <v>#VALUE!</v>
      </c>
      <c r="M38" s="13" t="e">
        <f>'Moat Scoring'!T34</f>
        <v>#VALUE!</v>
      </c>
      <c r="N38" s="13" t="e">
        <f>'Moat Scoring'!U34</f>
        <v>#VALUE!</v>
      </c>
    </row>
    <row r="39" spans="1:14" ht="15" customHeight="1" x14ac:dyDescent="0.25">
      <c r="A39" s="12">
        <f>'Portfolio Input'!A35</f>
        <v>0</v>
      </c>
      <c r="B39" s="12" t="str">
        <f>'Portfolio Input'!B35</f>
        <v/>
      </c>
      <c r="C39" s="13" t="str">
        <f>'Portfolio Input'!C35</f>
        <v/>
      </c>
      <c r="D39" s="13" t="str">
        <f>'Portfolio Input'!D35</f>
        <v/>
      </c>
      <c r="E39" s="13" t="str">
        <f>'Moat Scoring'!G35</f>
        <v/>
      </c>
      <c r="F39" s="13" t="e">
        <f>'Moat Scoring'!M35</f>
        <v>#VALUE!</v>
      </c>
      <c r="G39" s="13" t="e">
        <f>'Moat Scoring'!N35</f>
        <v>#VALUE!</v>
      </c>
      <c r="H39" s="13" t="e">
        <f>'Moat Scoring'!O35</f>
        <v>#VALUE!</v>
      </c>
      <c r="I39" s="13">
        <f>'Business Model Risk'!G35</f>
        <v>0</v>
      </c>
      <c r="J39" s="13">
        <f>'Moat Scoring'!P35</f>
        <v>22</v>
      </c>
      <c r="K39" s="13" t="e">
        <f>'Moat Scoring'!Q35</f>
        <v>#VALUE!</v>
      </c>
      <c r="L39" s="13" t="e">
        <f>'Moat Scoring'!R35</f>
        <v>#VALUE!</v>
      </c>
      <c r="M39" s="13" t="e">
        <f>'Moat Scoring'!T35</f>
        <v>#VALUE!</v>
      </c>
      <c r="N39" s="13" t="e">
        <f>'Moat Scoring'!U35</f>
        <v>#VALUE!</v>
      </c>
    </row>
    <row r="40" spans="1:14" ht="15" customHeight="1" x14ac:dyDescent="0.25">
      <c r="A40" s="12">
        <f>'Portfolio Input'!A36</f>
        <v>0</v>
      </c>
      <c r="B40" s="12" t="str">
        <f>'Portfolio Input'!B36</f>
        <v/>
      </c>
      <c r="C40" s="13" t="str">
        <f>'Portfolio Input'!C36</f>
        <v/>
      </c>
      <c r="D40" s="13" t="str">
        <f>'Portfolio Input'!D36</f>
        <v/>
      </c>
      <c r="E40" s="13" t="str">
        <f>'Moat Scoring'!G36</f>
        <v/>
      </c>
      <c r="F40" s="13" t="e">
        <f>'Moat Scoring'!M36</f>
        <v>#VALUE!</v>
      </c>
      <c r="G40" s="13" t="e">
        <f>'Moat Scoring'!N36</f>
        <v>#VALUE!</v>
      </c>
      <c r="H40" s="13" t="e">
        <f>'Moat Scoring'!O36</f>
        <v>#VALUE!</v>
      </c>
      <c r="I40" s="13">
        <f>'Business Model Risk'!G36</f>
        <v>0</v>
      </c>
      <c r="J40" s="13">
        <f>'Moat Scoring'!P36</f>
        <v>22</v>
      </c>
      <c r="K40" s="13" t="e">
        <f>'Moat Scoring'!Q36</f>
        <v>#VALUE!</v>
      </c>
      <c r="L40" s="13" t="e">
        <f>'Moat Scoring'!R36</f>
        <v>#VALUE!</v>
      </c>
      <c r="M40" s="13" t="e">
        <f>'Moat Scoring'!T36</f>
        <v>#VALUE!</v>
      </c>
      <c r="N40" s="13" t="e">
        <f>'Moat Scoring'!U36</f>
        <v>#VALUE!</v>
      </c>
    </row>
    <row r="41" spans="1:14" ht="15" customHeight="1" x14ac:dyDescent="0.25">
      <c r="A41" s="12">
        <f>'Portfolio Input'!A37</f>
        <v>0</v>
      </c>
      <c r="B41" s="12" t="str">
        <f>'Portfolio Input'!B37</f>
        <v/>
      </c>
      <c r="C41" s="13" t="str">
        <f>'Portfolio Input'!C37</f>
        <v/>
      </c>
      <c r="D41" s="13" t="str">
        <f>'Portfolio Input'!D37</f>
        <v/>
      </c>
      <c r="E41" s="13" t="str">
        <f>'Moat Scoring'!G37</f>
        <v/>
      </c>
      <c r="F41" s="13" t="e">
        <f>'Moat Scoring'!M37</f>
        <v>#VALUE!</v>
      </c>
      <c r="G41" s="13" t="e">
        <f>'Moat Scoring'!N37</f>
        <v>#VALUE!</v>
      </c>
      <c r="H41" s="13" t="e">
        <f>'Moat Scoring'!O37</f>
        <v>#VALUE!</v>
      </c>
      <c r="I41" s="13">
        <f>'Business Model Risk'!G37</f>
        <v>0</v>
      </c>
      <c r="J41" s="13">
        <f>'Moat Scoring'!P37</f>
        <v>22</v>
      </c>
      <c r="K41" s="13" t="e">
        <f>'Moat Scoring'!Q37</f>
        <v>#VALUE!</v>
      </c>
      <c r="L41" s="13" t="e">
        <f>'Moat Scoring'!R37</f>
        <v>#VALUE!</v>
      </c>
      <c r="M41" s="13" t="e">
        <f>'Moat Scoring'!T37</f>
        <v>#VALUE!</v>
      </c>
      <c r="N41" s="13" t="e">
        <f>'Moat Scoring'!U37</f>
        <v>#VALUE!</v>
      </c>
    </row>
    <row r="42" spans="1:14" ht="15" customHeight="1" x14ac:dyDescent="0.25">
      <c r="A42" s="12">
        <f>'Portfolio Input'!A38</f>
        <v>0</v>
      </c>
      <c r="B42" s="12" t="str">
        <f>'Portfolio Input'!B38</f>
        <v/>
      </c>
      <c r="C42" s="13" t="str">
        <f>'Portfolio Input'!C38</f>
        <v/>
      </c>
      <c r="D42" s="13" t="str">
        <f>'Portfolio Input'!D38</f>
        <v/>
      </c>
      <c r="E42" s="13" t="str">
        <f>'Moat Scoring'!G38</f>
        <v/>
      </c>
      <c r="F42" s="13" t="e">
        <f>'Moat Scoring'!M38</f>
        <v>#VALUE!</v>
      </c>
      <c r="G42" s="13" t="e">
        <f>'Moat Scoring'!N38</f>
        <v>#VALUE!</v>
      </c>
      <c r="H42" s="13" t="e">
        <f>'Moat Scoring'!O38</f>
        <v>#VALUE!</v>
      </c>
      <c r="I42" s="13">
        <f>'Business Model Risk'!G38</f>
        <v>0</v>
      </c>
      <c r="J42" s="13">
        <f>'Moat Scoring'!P38</f>
        <v>22</v>
      </c>
      <c r="K42" s="13" t="e">
        <f>'Moat Scoring'!Q38</f>
        <v>#VALUE!</v>
      </c>
      <c r="L42" s="13" t="e">
        <f>'Moat Scoring'!R38</f>
        <v>#VALUE!</v>
      </c>
      <c r="M42" s="13" t="e">
        <f>'Moat Scoring'!T38</f>
        <v>#VALUE!</v>
      </c>
      <c r="N42" s="13" t="e">
        <f>'Moat Scoring'!U38</f>
        <v>#VALUE!</v>
      </c>
    </row>
    <row r="43" spans="1:14" ht="15" customHeight="1" x14ac:dyDescent="0.25">
      <c r="A43" s="12">
        <f>'Portfolio Input'!A39</f>
        <v>0</v>
      </c>
      <c r="B43" s="12" t="str">
        <f>'Portfolio Input'!B39</f>
        <v/>
      </c>
      <c r="C43" s="13" t="str">
        <f>'Portfolio Input'!C39</f>
        <v/>
      </c>
      <c r="D43" s="13" t="str">
        <f>'Portfolio Input'!D39</f>
        <v/>
      </c>
      <c r="E43" s="13" t="str">
        <f>'Moat Scoring'!G39</f>
        <v/>
      </c>
      <c r="F43" s="13" t="e">
        <f>'Moat Scoring'!M39</f>
        <v>#VALUE!</v>
      </c>
      <c r="G43" s="13" t="e">
        <f>'Moat Scoring'!N39</f>
        <v>#VALUE!</v>
      </c>
      <c r="H43" s="13" t="e">
        <f>'Moat Scoring'!O39</f>
        <v>#VALUE!</v>
      </c>
      <c r="I43" s="13">
        <f>'Business Model Risk'!G39</f>
        <v>0</v>
      </c>
      <c r="J43" s="13">
        <f>'Moat Scoring'!P39</f>
        <v>22</v>
      </c>
      <c r="K43" s="13" t="e">
        <f>'Moat Scoring'!Q39</f>
        <v>#VALUE!</v>
      </c>
      <c r="L43" s="13" t="e">
        <f>'Moat Scoring'!R39</f>
        <v>#VALUE!</v>
      </c>
      <c r="M43" s="13" t="e">
        <f>'Moat Scoring'!T39</f>
        <v>#VALUE!</v>
      </c>
      <c r="N43" s="13" t="e">
        <f>'Moat Scoring'!U39</f>
        <v>#VALUE!</v>
      </c>
    </row>
    <row r="44" spans="1:14" ht="15" customHeight="1" x14ac:dyDescent="0.25">
      <c r="A44" s="12">
        <f>'Portfolio Input'!A40</f>
        <v>0</v>
      </c>
      <c r="B44" s="12" t="str">
        <f>'Portfolio Input'!B40</f>
        <v/>
      </c>
      <c r="C44" s="13" t="str">
        <f>'Portfolio Input'!C40</f>
        <v/>
      </c>
      <c r="D44" s="13" t="str">
        <f>'Portfolio Input'!D40</f>
        <v/>
      </c>
      <c r="E44" s="13" t="str">
        <f>'Moat Scoring'!G40</f>
        <v/>
      </c>
      <c r="F44" s="13" t="e">
        <f>'Moat Scoring'!M40</f>
        <v>#VALUE!</v>
      </c>
      <c r="G44" s="13" t="e">
        <f>'Moat Scoring'!N40</f>
        <v>#VALUE!</v>
      </c>
      <c r="H44" s="13" t="e">
        <f>'Moat Scoring'!O40</f>
        <v>#VALUE!</v>
      </c>
      <c r="I44" s="13">
        <f>'Business Model Risk'!G40</f>
        <v>0</v>
      </c>
      <c r="J44" s="13">
        <f>'Moat Scoring'!P40</f>
        <v>22</v>
      </c>
      <c r="K44" s="13" t="e">
        <f>'Moat Scoring'!Q40</f>
        <v>#VALUE!</v>
      </c>
      <c r="L44" s="13" t="e">
        <f>'Moat Scoring'!R40</f>
        <v>#VALUE!</v>
      </c>
      <c r="M44" s="13" t="e">
        <f>'Moat Scoring'!T40</f>
        <v>#VALUE!</v>
      </c>
      <c r="N44" s="13" t="e">
        <f>'Moat Scoring'!U40</f>
        <v>#VALUE!</v>
      </c>
    </row>
    <row r="45" spans="1:14" ht="15" customHeight="1" x14ac:dyDescent="0.25">
      <c r="A45" s="12">
        <f>'Portfolio Input'!A41</f>
        <v>0</v>
      </c>
      <c r="B45" s="12" t="str">
        <f>'Portfolio Input'!B41</f>
        <v/>
      </c>
      <c r="C45" s="13" t="str">
        <f>'Portfolio Input'!C41</f>
        <v/>
      </c>
      <c r="D45" s="13" t="str">
        <f>'Portfolio Input'!D41</f>
        <v/>
      </c>
      <c r="E45" s="13" t="str">
        <f>'Moat Scoring'!G41</f>
        <v/>
      </c>
      <c r="F45" s="13" t="e">
        <f>'Moat Scoring'!M41</f>
        <v>#VALUE!</v>
      </c>
      <c r="G45" s="13" t="e">
        <f>'Moat Scoring'!N41</f>
        <v>#VALUE!</v>
      </c>
      <c r="H45" s="13" t="e">
        <f>'Moat Scoring'!O41</f>
        <v>#VALUE!</v>
      </c>
      <c r="I45" s="13">
        <f>'Business Model Risk'!G41</f>
        <v>0</v>
      </c>
      <c r="J45" s="13">
        <f>'Moat Scoring'!P41</f>
        <v>22</v>
      </c>
      <c r="K45" s="13" t="e">
        <f>'Moat Scoring'!Q41</f>
        <v>#VALUE!</v>
      </c>
      <c r="L45" s="13" t="e">
        <f>'Moat Scoring'!R41</f>
        <v>#VALUE!</v>
      </c>
      <c r="M45" s="13" t="e">
        <f>'Moat Scoring'!T41</f>
        <v>#VALUE!</v>
      </c>
      <c r="N45" s="13" t="e">
        <f>'Moat Scoring'!U41</f>
        <v>#VALUE!</v>
      </c>
    </row>
    <row r="46" spans="1:14" ht="15" customHeight="1" x14ac:dyDescent="0.25">
      <c r="A46" s="12">
        <f>'Portfolio Input'!A42</f>
        <v>0</v>
      </c>
      <c r="B46" s="12" t="str">
        <f>'Portfolio Input'!B42</f>
        <v/>
      </c>
      <c r="C46" s="13" t="str">
        <f>'Portfolio Input'!C42</f>
        <v/>
      </c>
      <c r="D46" s="13" t="str">
        <f>'Portfolio Input'!D42</f>
        <v/>
      </c>
      <c r="E46" s="13" t="str">
        <f>'Moat Scoring'!G42</f>
        <v/>
      </c>
      <c r="F46" s="13" t="e">
        <f>'Moat Scoring'!M42</f>
        <v>#VALUE!</v>
      </c>
      <c r="G46" s="13" t="e">
        <f>'Moat Scoring'!N42</f>
        <v>#VALUE!</v>
      </c>
      <c r="H46" s="13" t="e">
        <f>'Moat Scoring'!O42</f>
        <v>#VALUE!</v>
      </c>
      <c r="I46" s="13">
        <f>'Business Model Risk'!G42</f>
        <v>0</v>
      </c>
      <c r="J46" s="13">
        <f>'Moat Scoring'!P42</f>
        <v>22</v>
      </c>
      <c r="K46" s="13" t="e">
        <f>'Moat Scoring'!Q42</f>
        <v>#VALUE!</v>
      </c>
      <c r="L46" s="13" t="e">
        <f>'Moat Scoring'!R42</f>
        <v>#VALUE!</v>
      </c>
      <c r="M46" s="13" t="e">
        <f>'Moat Scoring'!T42</f>
        <v>#VALUE!</v>
      </c>
      <c r="N46" s="13" t="e">
        <f>'Moat Scoring'!U42</f>
        <v>#VALUE!</v>
      </c>
    </row>
    <row r="47" spans="1:14" ht="15" customHeight="1" x14ac:dyDescent="0.25">
      <c r="A47" s="12">
        <f>'Portfolio Input'!A43</f>
        <v>0</v>
      </c>
      <c r="B47" s="12" t="str">
        <f>'Portfolio Input'!B43</f>
        <v/>
      </c>
      <c r="C47" s="13" t="str">
        <f>'Portfolio Input'!C43</f>
        <v/>
      </c>
      <c r="D47" s="13" t="str">
        <f>'Portfolio Input'!D43</f>
        <v/>
      </c>
      <c r="E47" s="13" t="str">
        <f>'Moat Scoring'!G43</f>
        <v/>
      </c>
      <c r="F47" s="13" t="e">
        <f>'Moat Scoring'!M43</f>
        <v>#VALUE!</v>
      </c>
      <c r="G47" s="13" t="e">
        <f>'Moat Scoring'!N43</f>
        <v>#VALUE!</v>
      </c>
      <c r="H47" s="13" t="e">
        <f>'Moat Scoring'!O43</f>
        <v>#VALUE!</v>
      </c>
      <c r="I47" s="13">
        <f>'Business Model Risk'!G43</f>
        <v>0</v>
      </c>
      <c r="J47" s="13">
        <f>'Moat Scoring'!P43</f>
        <v>22</v>
      </c>
      <c r="K47" s="13" t="e">
        <f>'Moat Scoring'!Q43</f>
        <v>#VALUE!</v>
      </c>
      <c r="L47" s="13" t="e">
        <f>'Moat Scoring'!R43</f>
        <v>#VALUE!</v>
      </c>
      <c r="M47" s="13" t="e">
        <f>'Moat Scoring'!T43</f>
        <v>#VALUE!</v>
      </c>
      <c r="N47" s="13" t="e">
        <f>'Moat Scoring'!U43</f>
        <v>#VALUE!</v>
      </c>
    </row>
    <row r="48" spans="1:14" ht="15" customHeight="1" x14ac:dyDescent="0.25">
      <c r="A48" s="12">
        <f>'Portfolio Input'!A44</f>
        <v>0</v>
      </c>
      <c r="B48" s="12" t="str">
        <f>'Portfolio Input'!B44</f>
        <v/>
      </c>
      <c r="C48" s="13" t="str">
        <f>'Portfolio Input'!C44</f>
        <v/>
      </c>
      <c r="D48" s="13" t="str">
        <f>'Portfolio Input'!D44</f>
        <v/>
      </c>
      <c r="E48" s="13" t="str">
        <f>'Moat Scoring'!G44</f>
        <v/>
      </c>
      <c r="F48" s="13" t="e">
        <f>'Moat Scoring'!M44</f>
        <v>#VALUE!</v>
      </c>
      <c r="G48" s="13" t="e">
        <f>'Moat Scoring'!N44</f>
        <v>#VALUE!</v>
      </c>
      <c r="H48" s="13" t="e">
        <f>'Moat Scoring'!O44</f>
        <v>#VALUE!</v>
      </c>
      <c r="I48" s="13">
        <f>'Business Model Risk'!G44</f>
        <v>0</v>
      </c>
      <c r="J48" s="13">
        <f>'Moat Scoring'!P44</f>
        <v>22</v>
      </c>
      <c r="K48" s="13" t="e">
        <f>'Moat Scoring'!Q44</f>
        <v>#VALUE!</v>
      </c>
      <c r="L48" s="13" t="e">
        <f>'Moat Scoring'!R44</f>
        <v>#VALUE!</v>
      </c>
      <c r="M48" s="13" t="e">
        <f>'Moat Scoring'!T44</f>
        <v>#VALUE!</v>
      </c>
      <c r="N48" s="13" t="e">
        <f>'Moat Scoring'!U44</f>
        <v>#VALUE!</v>
      </c>
    </row>
    <row r="49" spans="1:14" ht="15" customHeight="1" x14ac:dyDescent="0.25">
      <c r="A49" s="12">
        <f>'Portfolio Input'!A45</f>
        <v>0</v>
      </c>
      <c r="B49" s="12" t="str">
        <f>'Portfolio Input'!B45</f>
        <v/>
      </c>
      <c r="C49" s="13" t="str">
        <f>'Portfolio Input'!C45</f>
        <v/>
      </c>
      <c r="D49" s="13" t="str">
        <f>'Portfolio Input'!D45</f>
        <v/>
      </c>
      <c r="E49" s="13" t="str">
        <f>'Moat Scoring'!G45</f>
        <v/>
      </c>
      <c r="F49" s="13" t="e">
        <f>'Moat Scoring'!M45</f>
        <v>#VALUE!</v>
      </c>
      <c r="G49" s="13" t="e">
        <f>'Moat Scoring'!N45</f>
        <v>#VALUE!</v>
      </c>
      <c r="H49" s="13" t="e">
        <f>'Moat Scoring'!O45</f>
        <v>#VALUE!</v>
      </c>
      <c r="I49" s="13">
        <f>'Business Model Risk'!G45</f>
        <v>0</v>
      </c>
      <c r="J49" s="13">
        <f>'Moat Scoring'!P45</f>
        <v>22</v>
      </c>
      <c r="K49" s="13" t="e">
        <f>'Moat Scoring'!Q45</f>
        <v>#VALUE!</v>
      </c>
      <c r="L49" s="13" t="e">
        <f>'Moat Scoring'!R45</f>
        <v>#VALUE!</v>
      </c>
      <c r="M49" s="13" t="e">
        <f>'Moat Scoring'!T45</f>
        <v>#VALUE!</v>
      </c>
      <c r="N49" s="13" t="e">
        <f>'Moat Scoring'!U45</f>
        <v>#VALUE!</v>
      </c>
    </row>
    <row r="50" spans="1:14" ht="15" customHeight="1" x14ac:dyDescent="0.25">
      <c r="A50" s="12">
        <f>'Portfolio Input'!A46</f>
        <v>0</v>
      </c>
      <c r="B50" s="12" t="str">
        <f>'Portfolio Input'!B46</f>
        <v/>
      </c>
      <c r="C50" s="13" t="str">
        <f>'Portfolio Input'!C46</f>
        <v/>
      </c>
      <c r="D50" s="13" t="str">
        <f>'Portfolio Input'!D46</f>
        <v/>
      </c>
      <c r="E50" s="13" t="str">
        <f>'Moat Scoring'!G46</f>
        <v/>
      </c>
      <c r="F50" s="13" t="e">
        <f>'Moat Scoring'!M46</f>
        <v>#VALUE!</v>
      </c>
      <c r="G50" s="13" t="e">
        <f>'Moat Scoring'!N46</f>
        <v>#VALUE!</v>
      </c>
      <c r="H50" s="13" t="e">
        <f>'Moat Scoring'!O46</f>
        <v>#VALUE!</v>
      </c>
      <c r="I50" s="13">
        <f>'Business Model Risk'!G46</f>
        <v>0</v>
      </c>
      <c r="J50" s="13">
        <f>'Moat Scoring'!P46</f>
        <v>22</v>
      </c>
      <c r="K50" s="13" t="e">
        <f>'Moat Scoring'!Q46</f>
        <v>#VALUE!</v>
      </c>
      <c r="L50" s="13" t="e">
        <f>'Moat Scoring'!R46</f>
        <v>#VALUE!</v>
      </c>
      <c r="M50" s="13" t="e">
        <f>'Moat Scoring'!T46</f>
        <v>#VALUE!</v>
      </c>
      <c r="N50" s="13" t="e">
        <f>'Moat Scoring'!U46</f>
        <v>#VALUE!</v>
      </c>
    </row>
    <row r="51" spans="1:14" ht="15" customHeight="1" x14ac:dyDescent="0.25">
      <c r="A51" s="12">
        <f>'Portfolio Input'!A47</f>
        <v>0</v>
      </c>
      <c r="B51" s="12" t="str">
        <f>'Portfolio Input'!B47</f>
        <v/>
      </c>
      <c r="C51" s="13" t="str">
        <f>'Portfolio Input'!C47</f>
        <v/>
      </c>
      <c r="D51" s="13" t="str">
        <f>'Portfolio Input'!D47</f>
        <v/>
      </c>
      <c r="E51" s="13" t="str">
        <f>'Moat Scoring'!G47</f>
        <v/>
      </c>
      <c r="F51" s="13" t="e">
        <f>'Moat Scoring'!M47</f>
        <v>#VALUE!</v>
      </c>
      <c r="G51" s="13" t="e">
        <f>'Moat Scoring'!N47</f>
        <v>#VALUE!</v>
      </c>
      <c r="H51" s="13" t="e">
        <f>'Moat Scoring'!O47</f>
        <v>#VALUE!</v>
      </c>
      <c r="I51" s="13">
        <f>'Business Model Risk'!G47</f>
        <v>0</v>
      </c>
      <c r="J51" s="13">
        <f>'Moat Scoring'!P47</f>
        <v>22</v>
      </c>
      <c r="K51" s="13" t="e">
        <f>'Moat Scoring'!Q47</f>
        <v>#VALUE!</v>
      </c>
      <c r="L51" s="13" t="e">
        <f>'Moat Scoring'!R47</f>
        <v>#VALUE!</v>
      </c>
      <c r="M51" s="13" t="e">
        <f>'Moat Scoring'!T47</f>
        <v>#VALUE!</v>
      </c>
      <c r="N51" s="13" t="e">
        <f>'Moat Scoring'!U47</f>
        <v>#VALUE!</v>
      </c>
    </row>
    <row r="52" spans="1:14" ht="15" customHeight="1" x14ac:dyDescent="0.25">
      <c r="A52" s="12">
        <f>'Portfolio Input'!A48</f>
        <v>0</v>
      </c>
      <c r="B52" s="12" t="str">
        <f>'Portfolio Input'!B48</f>
        <v/>
      </c>
      <c r="C52" s="13" t="str">
        <f>'Portfolio Input'!C48</f>
        <v/>
      </c>
      <c r="D52" s="13" t="str">
        <f>'Portfolio Input'!D48</f>
        <v/>
      </c>
      <c r="E52" s="13" t="str">
        <f>'Moat Scoring'!G48</f>
        <v/>
      </c>
      <c r="F52" s="13" t="e">
        <f>'Moat Scoring'!M48</f>
        <v>#VALUE!</v>
      </c>
      <c r="G52" s="13" t="e">
        <f>'Moat Scoring'!N48</f>
        <v>#VALUE!</v>
      </c>
      <c r="H52" s="13" t="e">
        <f>'Moat Scoring'!O48</f>
        <v>#VALUE!</v>
      </c>
      <c r="I52" s="13">
        <f>'Business Model Risk'!G48</f>
        <v>0</v>
      </c>
      <c r="J52" s="13">
        <f>'Moat Scoring'!P48</f>
        <v>22</v>
      </c>
      <c r="K52" s="13" t="e">
        <f>'Moat Scoring'!Q48</f>
        <v>#VALUE!</v>
      </c>
      <c r="L52" s="13" t="e">
        <f>'Moat Scoring'!R48</f>
        <v>#VALUE!</v>
      </c>
      <c r="M52" s="13" t="e">
        <f>'Moat Scoring'!T48</f>
        <v>#VALUE!</v>
      </c>
      <c r="N52" s="13" t="e">
        <f>'Moat Scoring'!U48</f>
        <v>#VALUE!</v>
      </c>
    </row>
    <row r="53" spans="1:14" ht="15" customHeight="1" x14ac:dyDescent="0.25">
      <c r="A53" s="12">
        <f>'Portfolio Input'!A49</f>
        <v>0</v>
      </c>
      <c r="B53" s="12" t="str">
        <f>'Portfolio Input'!B49</f>
        <v/>
      </c>
      <c r="C53" s="13" t="str">
        <f>'Portfolio Input'!C49</f>
        <v/>
      </c>
      <c r="D53" s="13" t="str">
        <f>'Portfolio Input'!D49</f>
        <v/>
      </c>
      <c r="E53" s="13" t="str">
        <f>'Moat Scoring'!G49</f>
        <v/>
      </c>
      <c r="F53" s="13" t="e">
        <f>'Moat Scoring'!M49</f>
        <v>#VALUE!</v>
      </c>
      <c r="G53" s="13" t="e">
        <f>'Moat Scoring'!N49</f>
        <v>#VALUE!</v>
      </c>
      <c r="H53" s="13" t="e">
        <f>'Moat Scoring'!O49</f>
        <v>#VALUE!</v>
      </c>
      <c r="I53" s="13">
        <f>'Business Model Risk'!G49</f>
        <v>0</v>
      </c>
      <c r="J53" s="13">
        <f>'Moat Scoring'!P49</f>
        <v>22</v>
      </c>
      <c r="K53" s="13" t="e">
        <f>'Moat Scoring'!Q49</f>
        <v>#VALUE!</v>
      </c>
      <c r="L53" s="13" t="e">
        <f>'Moat Scoring'!R49</f>
        <v>#VALUE!</v>
      </c>
      <c r="M53" s="13" t="e">
        <f>'Moat Scoring'!T49</f>
        <v>#VALUE!</v>
      </c>
      <c r="N53" s="13" t="e">
        <f>'Moat Scoring'!U49</f>
        <v>#VALUE!</v>
      </c>
    </row>
    <row r="54" spans="1:14" ht="15" customHeight="1" x14ac:dyDescent="0.25">
      <c r="A54" s="12">
        <f>'Portfolio Input'!A50</f>
        <v>0</v>
      </c>
      <c r="B54" s="12" t="str">
        <f>'Portfolio Input'!B50</f>
        <v/>
      </c>
      <c r="C54" s="13" t="str">
        <f>'Portfolio Input'!C50</f>
        <v/>
      </c>
      <c r="D54" s="13" t="str">
        <f>'Portfolio Input'!D50</f>
        <v/>
      </c>
      <c r="E54" s="13" t="str">
        <f>'Moat Scoring'!G50</f>
        <v/>
      </c>
      <c r="F54" s="13" t="e">
        <f>'Moat Scoring'!M50</f>
        <v>#VALUE!</v>
      </c>
      <c r="G54" s="13" t="e">
        <f>'Moat Scoring'!N50</f>
        <v>#VALUE!</v>
      </c>
      <c r="H54" s="13" t="e">
        <f>'Moat Scoring'!O50</f>
        <v>#VALUE!</v>
      </c>
      <c r="I54" s="13">
        <f>'Business Model Risk'!G50</f>
        <v>0</v>
      </c>
      <c r="J54" s="13">
        <f>'Moat Scoring'!P50</f>
        <v>22</v>
      </c>
      <c r="K54" s="13" t="e">
        <f>'Moat Scoring'!Q50</f>
        <v>#VALUE!</v>
      </c>
      <c r="L54" s="13" t="e">
        <f>'Moat Scoring'!R50</f>
        <v>#VALUE!</v>
      </c>
      <c r="M54" s="13" t="e">
        <f>'Moat Scoring'!T50</f>
        <v>#VALUE!</v>
      </c>
      <c r="N54" s="13" t="e">
        <f>'Moat Scoring'!U50</f>
        <v>#VALUE!</v>
      </c>
    </row>
    <row r="55" spans="1:14" ht="15" customHeight="1" x14ac:dyDescent="0.25">
      <c r="A55" s="12">
        <f>'Portfolio Input'!A51</f>
        <v>0</v>
      </c>
      <c r="B55" s="12" t="str">
        <f>'Portfolio Input'!B51</f>
        <v/>
      </c>
      <c r="C55" s="13" t="str">
        <f>'Portfolio Input'!C51</f>
        <v/>
      </c>
      <c r="D55" s="13" t="str">
        <f>'Portfolio Input'!D51</f>
        <v/>
      </c>
      <c r="E55" s="13" t="str">
        <f>'Moat Scoring'!G51</f>
        <v/>
      </c>
      <c r="F55" s="13" t="e">
        <f>'Moat Scoring'!M51</f>
        <v>#VALUE!</v>
      </c>
      <c r="G55" s="13" t="e">
        <f>'Moat Scoring'!N51</f>
        <v>#VALUE!</v>
      </c>
      <c r="H55" s="13" t="e">
        <f>'Moat Scoring'!O51</f>
        <v>#VALUE!</v>
      </c>
      <c r="I55" s="13">
        <f>'Business Model Risk'!G51</f>
        <v>0</v>
      </c>
      <c r="J55" s="13">
        <f>'Moat Scoring'!P51</f>
        <v>22</v>
      </c>
      <c r="K55" s="13" t="e">
        <f>'Moat Scoring'!Q51</f>
        <v>#VALUE!</v>
      </c>
      <c r="L55" s="13" t="e">
        <f>'Moat Scoring'!R51</f>
        <v>#VALUE!</v>
      </c>
      <c r="M55" s="13" t="e">
        <f>'Moat Scoring'!T51</f>
        <v>#VALUE!</v>
      </c>
      <c r="N55" s="13" t="e">
        <f>'Moat Scoring'!U51</f>
        <v>#VALUE!</v>
      </c>
    </row>
    <row r="56" spans="1:14" ht="15" customHeight="1" x14ac:dyDescent="0.25">
      <c r="A56" s="12">
        <f>'Portfolio Input'!A52</f>
        <v>0</v>
      </c>
      <c r="B56" s="12" t="str">
        <f>'Portfolio Input'!B52</f>
        <v/>
      </c>
      <c r="C56" s="13" t="str">
        <f>'Portfolio Input'!C52</f>
        <v/>
      </c>
      <c r="D56" s="13" t="str">
        <f>'Portfolio Input'!D52</f>
        <v/>
      </c>
      <c r="E56" s="13" t="str">
        <f>'Moat Scoring'!G52</f>
        <v/>
      </c>
      <c r="F56" s="13" t="e">
        <f>'Moat Scoring'!M52</f>
        <v>#VALUE!</v>
      </c>
      <c r="G56" s="13" t="e">
        <f>'Moat Scoring'!N52</f>
        <v>#VALUE!</v>
      </c>
      <c r="H56" s="13" t="e">
        <f>'Moat Scoring'!O52</f>
        <v>#VALUE!</v>
      </c>
      <c r="I56" s="13">
        <f>'Business Model Risk'!G52</f>
        <v>0</v>
      </c>
      <c r="J56" s="13">
        <f>'Moat Scoring'!P52</f>
        <v>22</v>
      </c>
      <c r="K56" s="13" t="e">
        <f>'Moat Scoring'!Q52</f>
        <v>#VALUE!</v>
      </c>
      <c r="L56" s="13" t="e">
        <f>'Moat Scoring'!R52</f>
        <v>#VALUE!</v>
      </c>
      <c r="M56" s="13" t="e">
        <f>'Moat Scoring'!T52</f>
        <v>#VALUE!</v>
      </c>
      <c r="N56" s="13" t="e">
        <f>'Moat Scoring'!U52</f>
        <v>#VALUE!</v>
      </c>
    </row>
    <row r="57" spans="1:14" ht="15" customHeight="1" x14ac:dyDescent="0.25">
      <c r="A57" s="12">
        <f>'Portfolio Input'!A53</f>
        <v>0</v>
      </c>
      <c r="B57" s="12" t="str">
        <f>'Portfolio Input'!B53</f>
        <v/>
      </c>
      <c r="C57" s="13" t="str">
        <f>'Portfolio Input'!C53</f>
        <v/>
      </c>
      <c r="D57" s="13" t="str">
        <f>'Portfolio Input'!D53</f>
        <v/>
      </c>
      <c r="E57" s="13" t="str">
        <f>'Moat Scoring'!G53</f>
        <v/>
      </c>
      <c r="F57" s="13" t="e">
        <f>'Moat Scoring'!M53</f>
        <v>#VALUE!</v>
      </c>
      <c r="G57" s="13" t="e">
        <f>'Moat Scoring'!N53</f>
        <v>#VALUE!</v>
      </c>
      <c r="H57" s="13" t="e">
        <f>'Moat Scoring'!O53</f>
        <v>#VALUE!</v>
      </c>
      <c r="I57" s="13">
        <f>'Business Model Risk'!G53</f>
        <v>0</v>
      </c>
      <c r="J57" s="13">
        <f>'Moat Scoring'!P53</f>
        <v>22</v>
      </c>
      <c r="K57" s="13" t="e">
        <f>'Moat Scoring'!Q53</f>
        <v>#VALUE!</v>
      </c>
      <c r="L57" s="13" t="e">
        <f>'Moat Scoring'!R53</f>
        <v>#VALUE!</v>
      </c>
      <c r="M57" s="13" t="e">
        <f>'Moat Scoring'!T53</f>
        <v>#VALUE!</v>
      </c>
      <c r="N57" s="13" t="e">
        <f>'Moat Scoring'!U53</f>
        <v>#VALUE!</v>
      </c>
    </row>
    <row r="58" spans="1:14" ht="15" customHeight="1" x14ac:dyDescent="0.25">
      <c r="A58" s="12">
        <f>'Portfolio Input'!A54</f>
        <v>0</v>
      </c>
      <c r="B58" s="12" t="str">
        <f>'Portfolio Input'!B54</f>
        <v/>
      </c>
      <c r="C58" s="13" t="str">
        <f>'Portfolio Input'!C54</f>
        <v/>
      </c>
      <c r="D58" s="13" t="str">
        <f>'Portfolio Input'!D54</f>
        <v/>
      </c>
      <c r="E58" s="13" t="str">
        <f>'Moat Scoring'!G54</f>
        <v/>
      </c>
      <c r="F58" s="13" t="e">
        <f>'Moat Scoring'!M54</f>
        <v>#VALUE!</v>
      </c>
      <c r="G58" s="13" t="e">
        <f>'Moat Scoring'!N54</f>
        <v>#VALUE!</v>
      </c>
      <c r="H58" s="13" t="e">
        <f>'Moat Scoring'!O54</f>
        <v>#VALUE!</v>
      </c>
      <c r="I58" s="13">
        <f>'Business Model Risk'!G54</f>
        <v>0</v>
      </c>
      <c r="J58" s="13">
        <f>'Moat Scoring'!P54</f>
        <v>22</v>
      </c>
      <c r="K58" s="13" t="e">
        <f>'Moat Scoring'!Q54</f>
        <v>#VALUE!</v>
      </c>
      <c r="L58" s="13" t="e">
        <f>'Moat Scoring'!R54</f>
        <v>#VALUE!</v>
      </c>
      <c r="M58" s="13" t="e">
        <f>'Moat Scoring'!T54</f>
        <v>#VALUE!</v>
      </c>
      <c r="N58" s="13" t="e">
        <f>'Moat Scoring'!U54</f>
        <v>#VALUE!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3D57D"/>
  </sheetPr>
  <dimension ref="A1:O14"/>
  <sheetViews>
    <sheetView zoomScaleNormal="100" workbookViewId="0"/>
  </sheetViews>
  <sheetFormatPr defaultColWidth="8.7109375" defaultRowHeight="15" x14ac:dyDescent="0.25"/>
  <cols>
    <col min="1" max="1" width="24" customWidth="1"/>
    <col min="2" max="6" width="6" customWidth="1"/>
    <col min="7" max="7" width="8" customWidth="1"/>
    <col min="8" max="12" width="6" customWidth="1"/>
    <col min="13" max="14" width="8" customWidth="1"/>
    <col min="15" max="15" width="12" customWidth="1"/>
  </cols>
  <sheetData>
    <row r="1" spans="1:15" ht="17.25" customHeight="1" x14ac:dyDescent="0.25">
      <c r="A1" s="1" t="s">
        <v>129</v>
      </c>
    </row>
    <row r="3" spans="1:15" ht="26.25" customHeight="1" x14ac:dyDescent="0.25">
      <c r="A3" s="4" t="s">
        <v>5</v>
      </c>
      <c r="B3" s="4" t="s">
        <v>130</v>
      </c>
      <c r="C3" s="4" t="s">
        <v>131</v>
      </c>
      <c r="D3" s="4" t="s">
        <v>132</v>
      </c>
      <c r="E3" s="4" t="s">
        <v>133</v>
      </c>
      <c r="F3" s="4" t="s">
        <v>134</v>
      </c>
      <c r="G3" s="4" t="s">
        <v>52</v>
      </c>
      <c r="H3" s="4" t="s">
        <v>135</v>
      </c>
      <c r="I3" s="4" t="s">
        <v>136</v>
      </c>
      <c r="J3" s="4" t="s">
        <v>137</v>
      </c>
      <c r="K3" s="4" t="s">
        <v>138</v>
      </c>
      <c r="L3" s="4" t="s">
        <v>139</v>
      </c>
      <c r="M3" s="4" t="s">
        <v>58</v>
      </c>
      <c r="N3" s="4" t="s">
        <v>140</v>
      </c>
      <c r="O3" s="4" t="s">
        <v>60</v>
      </c>
    </row>
    <row r="4" spans="1:15" ht="15" customHeight="1" x14ac:dyDescent="0.25">
      <c r="A4" s="14" t="s">
        <v>141</v>
      </c>
      <c r="B4" s="15">
        <v>4</v>
      </c>
      <c r="C4" s="15">
        <v>4</v>
      </c>
      <c r="D4" s="15">
        <v>4</v>
      </c>
      <c r="E4" s="15">
        <v>3</v>
      </c>
      <c r="F4" s="15">
        <v>2</v>
      </c>
      <c r="G4" s="6">
        <f t="shared" ref="G4:G14" si="0">B4*0.25+C4*0.2+D4*0.25+E4*0.15+F4*0.15</f>
        <v>3.55</v>
      </c>
      <c r="H4" s="15">
        <v>3</v>
      </c>
      <c r="I4" s="15">
        <v>2</v>
      </c>
      <c r="J4" s="15">
        <v>3</v>
      </c>
      <c r="K4" s="15">
        <v>4</v>
      </c>
      <c r="L4" s="15">
        <v>3</v>
      </c>
      <c r="M4" s="6">
        <f t="shared" ref="M4:M14" si="1">H4*0.25+I4*0.25+J4*0.15+K4*0.2+L4*0.15</f>
        <v>2.95</v>
      </c>
      <c r="N4" s="6">
        <f t="shared" ref="N4:N14" si="2">G4-M4</f>
        <v>0.59999999999999964</v>
      </c>
      <c r="O4" s="6" t="str">
        <f t="shared" ref="O4:O14" si="3">IF(N4&lt;=-2,"CRITICAL",IF(N4&lt;=-0.5,"HIGH",IF(N4&lt;=0.5,"MEDIUM",IF(N4&lt;=1.5,"LOW-MEDIUM","LOW"))))</f>
        <v>LOW-MEDIUM</v>
      </c>
    </row>
    <row r="5" spans="1:15" ht="15" customHeight="1" x14ac:dyDescent="0.25">
      <c r="A5" s="14" t="s">
        <v>142</v>
      </c>
      <c r="B5" s="15">
        <v>3</v>
      </c>
      <c r="C5" s="15">
        <v>5</v>
      </c>
      <c r="D5" s="15">
        <v>4</v>
      </c>
      <c r="E5" s="15">
        <v>2</v>
      </c>
      <c r="F5" s="15">
        <v>3</v>
      </c>
      <c r="G5" s="6">
        <f t="shared" si="0"/>
        <v>3.5</v>
      </c>
      <c r="H5" s="15">
        <v>3</v>
      </c>
      <c r="I5" s="15">
        <v>3</v>
      </c>
      <c r="J5" s="15">
        <v>4</v>
      </c>
      <c r="K5" s="15">
        <v>3</v>
      </c>
      <c r="L5" s="15">
        <v>4</v>
      </c>
      <c r="M5" s="6">
        <f t="shared" si="1"/>
        <v>3.3000000000000003</v>
      </c>
      <c r="N5" s="6">
        <f t="shared" si="2"/>
        <v>0.19999999999999973</v>
      </c>
      <c r="O5" s="6" t="str">
        <f t="shared" si="3"/>
        <v>MEDIUM</v>
      </c>
    </row>
    <row r="6" spans="1:15" ht="15" customHeight="1" x14ac:dyDescent="0.25">
      <c r="A6" s="14" t="s">
        <v>143</v>
      </c>
      <c r="B6" s="15">
        <v>3</v>
      </c>
      <c r="C6" s="15">
        <v>1</v>
      </c>
      <c r="D6" s="15">
        <v>5</v>
      </c>
      <c r="E6" s="15">
        <v>2</v>
      </c>
      <c r="F6" s="15">
        <v>3</v>
      </c>
      <c r="G6" s="6">
        <f t="shared" si="0"/>
        <v>2.95</v>
      </c>
      <c r="H6" s="15">
        <v>2</v>
      </c>
      <c r="I6" s="15">
        <v>2</v>
      </c>
      <c r="J6" s="15">
        <v>2</v>
      </c>
      <c r="K6" s="15">
        <v>3</v>
      </c>
      <c r="L6" s="15">
        <v>2</v>
      </c>
      <c r="M6" s="6">
        <f t="shared" si="1"/>
        <v>2.2000000000000002</v>
      </c>
      <c r="N6" s="6">
        <f t="shared" si="2"/>
        <v>0.75</v>
      </c>
      <c r="O6" s="6" t="str">
        <f t="shared" si="3"/>
        <v>LOW-MEDIUM</v>
      </c>
    </row>
    <row r="7" spans="1:15" ht="15" customHeight="1" x14ac:dyDescent="0.25">
      <c r="A7" s="14" t="s">
        <v>144</v>
      </c>
      <c r="B7" s="15">
        <v>3</v>
      </c>
      <c r="C7" s="15">
        <v>2</v>
      </c>
      <c r="D7" s="15">
        <v>3</v>
      </c>
      <c r="E7" s="15">
        <v>3</v>
      </c>
      <c r="F7" s="15">
        <v>3</v>
      </c>
      <c r="G7" s="6">
        <f t="shared" si="0"/>
        <v>2.8</v>
      </c>
      <c r="H7" s="15">
        <v>5</v>
      </c>
      <c r="I7" s="15">
        <v>4</v>
      </c>
      <c r="J7" s="15">
        <v>3</v>
      </c>
      <c r="K7" s="15">
        <v>4</v>
      </c>
      <c r="L7" s="15">
        <v>4</v>
      </c>
      <c r="M7" s="6">
        <f t="shared" si="1"/>
        <v>4.0999999999999996</v>
      </c>
      <c r="N7" s="6">
        <f t="shared" si="2"/>
        <v>-1.2999999999999998</v>
      </c>
      <c r="O7" s="6" t="str">
        <f t="shared" si="3"/>
        <v>HIGH</v>
      </c>
    </row>
    <row r="8" spans="1:15" ht="15" customHeight="1" x14ac:dyDescent="0.25">
      <c r="A8" s="14" t="s">
        <v>145</v>
      </c>
      <c r="B8" s="15">
        <v>2</v>
      </c>
      <c r="C8" s="15">
        <v>1</v>
      </c>
      <c r="D8" s="15">
        <v>4</v>
      </c>
      <c r="E8" s="15">
        <v>4</v>
      </c>
      <c r="F8" s="15">
        <v>2</v>
      </c>
      <c r="G8" s="6">
        <f t="shared" si="0"/>
        <v>2.5999999999999996</v>
      </c>
      <c r="H8" s="15">
        <v>2</v>
      </c>
      <c r="I8" s="15">
        <v>2</v>
      </c>
      <c r="J8" s="15">
        <v>1</v>
      </c>
      <c r="K8" s="15">
        <v>2</v>
      </c>
      <c r="L8" s="15">
        <v>1</v>
      </c>
      <c r="M8" s="6">
        <f t="shared" si="1"/>
        <v>1.6999999999999997</v>
      </c>
      <c r="N8" s="6">
        <f t="shared" si="2"/>
        <v>0.89999999999999991</v>
      </c>
      <c r="O8" s="6" t="str">
        <f t="shared" si="3"/>
        <v>LOW-MEDIUM</v>
      </c>
    </row>
    <row r="9" spans="1:15" ht="15" customHeight="1" x14ac:dyDescent="0.25">
      <c r="A9" s="14" t="s">
        <v>146</v>
      </c>
      <c r="B9" s="15">
        <v>3</v>
      </c>
      <c r="C9" s="15">
        <v>1</v>
      </c>
      <c r="D9" s="15">
        <v>3</v>
      </c>
      <c r="E9" s="15">
        <v>4</v>
      </c>
      <c r="F9" s="15">
        <v>3</v>
      </c>
      <c r="G9" s="6">
        <f t="shared" si="0"/>
        <v>2.75</v>
      </c>
      <c r="H9" s="15">
        <v>3</v>
      </c>
      <c r="I9" s="15">
        <v>2</v>
      </c>
      <c r="J9" s="15">
        <v>2</v>
      </c>
      <c r="K9" s="15">
        <v>2</v>
      </c>
      <c r="L9" s="15">
        <v>2</v>
      </c>
      <c r="M9" s="6">
        <f t="shared" si="1"/>
        <v>2.25</v>
      </c>
      <c r="N9" s="6">
        <f t="shared" si="2"/>
        <v>0.5</v>
      </c>
      <c r="O9" s="6" t="str">
        <f t="shared" si="3"/>
        <v>MEDIUM</v>
      </c>
    </row>
    <row r="10" spans="1:15" ht="15" customHeight="1" x14ac:dyDescent="0.25">
      <c r="A10" s="14" t="s">
        <v>147</v>
      </c>
      <c r="B10" s="15">
        <v>2</v>
      </c>
      <c r="C10" s="15">
        <v>2</v>
      </c>
      <c r="D10" s="15">
        <v>3</v>
      </c>
      <c r="E10" s="15">
        <v>2</v>
      </c>
      <c r="F10" s="15">
        <v>1</v>
      </c>
      <c r="G10" s="6">
        <f t="shared" si="0"/>
        <v>2.1</v>
      </c>
      <c r="H10" s="15">
        <v>3</v>
      </c>
      <c r="I10" s="15">
        <v>4</v>
      </c>
      <c r="J10" s="15">
        <v>3</v>
      </c>
      <c r="K10" s="15">
        <v>3</v>
      </c>
      <c r="L10" s="15">
        <v>3</v>
      </c>
      <c r="M10" s="6">
        <f t="shared" si="1"/>
        <v>3.25</v>
      </c>
      <c r="N10" s="6">
        <f t="shared" si="2"/>
        <v>-1.1499999999999999</v>
      </c>
      <c r="O10" s="6" t="str">
        <f t="shared" si="3"/>
        <v>HIGH</v>
      </c>
    </row>
    <row r="11" spans="1:15" ht="15" customHeight="1" x14ac:dyDescent="0.25">
      <c r="A11" s="14" t="s">
        <v>148</v>
      </c>
      <c r="B11" s="15">
        <v>1</v>
      </c>
      <c r="C11" s="15">
        <v>1</v>
      </c>
      <c r="D11" s="15">
        <v>2</v>
      </c>
      <c r="E11" s="15">
        <v>4</v>
      </c>
      <c r="F11" s="15">
        <v>4</v>
      </c>
      <c r="G11" s="6">
        <f t="shared" si="0"/>
        <v>2.15</v>
      </c>
      <c r="H11" s="15">
        <v>1</v>
      </c>
      <c r="I11" s="15">
        <v>1</v>
      </c>
      <c r="J11" s="15">
        <v>1</v>
      </c>
      <c r="K11" s="15">
        <v>1</v>
      </c>
      <c r="L11" s="15">
        <v>1</v>
      </c>
      <c r="M11" s="6">
        <f t="shared" si="1"/>
        <v>1</v>
      </c>
      <c r="N11" s="6">
        <f t="shared" si="2"/>
        <v>1.1499999999999999</v>
      </c>
      <c r="O11" s="6" t="str">
        <f t="shared" si="3"/>
        <v>LOW-MEDIUM</v>
      </c>
    </row>
    <row r="12" spans="1:15" ht="15" customHeight="1" x14ac:dyDescent="0.25">
      <c r="A12" s="14" t="s">
        <v>149</v>
      </c>
      <c r="B12" s="15">
        <v>2</v>
      </c>
      <c r="C12" s="15">
        <v>1</v>
      </c>
      <c r="D12" s="15">
        <v>3</v>
      </c>
      <c r="E12" s="15">
        <v>3</v>
      </c>
      <c r="F12" s="15">
        <v>5</v>
      </c>
      <c r="G12" s="6">
        <f t="shared" si="0"/>
        <v>2.65</v>
      </c>
      <c r="H12" s="15">
        <v>1</v>
      </c>
      <c r="I12" s="15">
        <v>1</v>
      </c>
      <c r="J12" s="15">
        <v>1</v>
      </c>
      <c r="K12" s="15">
        <v>1</v>
      </c>
      <c r="L12" s="15">
        <v>1</v>
      </c>
      <c r="M12" s="6">
        <f t="shared" si="1"/>
        <v>1</v>
      </c>
      <c r="N12" s="6">
        <f t="shared" si="2"/>
        <v>1.65</v>
      </c>
      <c r="O12" s="6" t="str">
        <f t="shared" si="3"/>
        <v>LOW</v>
      </c>
    </row>
    <row r="13" spans="1:15" ht="15" customHeight="1" x14ac:dyDescent="0.25">
      <c r="A13" s="14" t="s">
        <v>150</v>
      </c>
      <c r="B13" s="15">
        <v>2</v>
      </c>
      <c r="C13" s="15">
        <v>1</v>
      </c>
      <c r="D13" s="15">
        <v>2</v>
      </c>
      <c r="E13" s="15">
        <v>2</v>
      </c>
      <c r="F13" s="15">
        <v>3</v>
      </c>
      <c r="G13" s="6">
        <f t="shared" si="0"/>
        <v>1.95</v>
      </c>
      <c r="H13" s="15">
        <v>3</v>
      </c>
      <c r="I13" s="15">
        <v>4</v>
      </c>
      <c r="J13" s="15">
        <v>2</v>
      </c>
      <c r="K13" s="15">
        <v>3</v>
      </c>
      <c r="L13" s="15">
        <v>3</v>
      </c>
      <c r="M13" s="6">
        <f t="shared" si="1"/>
        <v>3.0999999999999996</v>
      </c>
      <c r="N13" s="6">
        <f t="shared" si="2"/>
        <v>-1.1499999999999997</v>
      </c>
      <c r="O13" s="6" t="str">
        <f t="shared" si="3"/>
        <v>HIGH</v>
      </c>
    </row>
    <row r="14" spans="1:15" ht="15" customHeight="1" x14ac:dyDescent="0.25">
      <c r="A14" s="14" t="s">
        <v>151</v>
      </c>
      <c r="B14" s="15">
        <v>1</v>
      </c>
      <c r="C14" s="15">
        <v>1</v>
      </c>
      <c r="D14" s="15">
        <v>2</v>
      </c>
      <c r="E14" s="15">
        <v>4</v>
      </c>
      <c r="F14" s="15">
        <v>3</v>
      </c>
      <c r="G14" s="6">
        <f t="shared" si="0"/>
        <v>1.9999999999999998</v>
      </c>
      <c r="H14" s="15">
        <v>2</v>
      </c>
      <c r="I14" s="15">
        <v>1</v>
      </c>
      <c r="J14" s="15">
        <v>1</v>
      </c>
      <c r="K14" s="15">
        <v>1</v>
      </c>
      <c r="L14" s="15">
        <v>1</v>
      </c>
      <c r="M14" s="6">
        <f t="shared" si="1"/>
        <v>1.25</v>
      </c>
      <c r="N14" s="6">
        <f t="shared" si="2"/>
        <v>0.74999999999999978</v>
      </c>
      <c r="O14" s="6" t="str">
        <f t="shared" si="3"/>
        <v>LOW-MEDIUM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BBEE8"/>
  </sheetPr>
  <dimension ref="A1:Q39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22" customWidth="1"/>
    <col min="3" max="7" width="6" customWidth="1"/>
    <col min="8" max="8" width="8" customWidth="1"/>
    <col min="9" max="13" width="6" customWidth="1"/>
    <col min="14" max="14" width="8" customWidth="1"/>
    <col min="15" max="15" width="7" customWidth="1"/>
    <col min="16" max="16" width="10" customWidth="1"/>
    <col min="17" max="17" width="16" customWidth="1"/>
  </cols>
  <sheetData>
    <row r="1" spans="1:17" ht="17.25" customHeight="1" x14ac:dyDescent="0.25">
      <c r="A1" s="1" t="s">
        <v>152</v>
      </c>
    </row>
    <row r="2" spans="1:17" ht="15" customHeight="1" x14ac:dyDescent="0.25">
      <c r="A2" s="2" t="s">
        <v>153</v>
      </c>
    </row>
    <row r="3" spans="1:17" ht="15" customHeight="1" x14ac:dyDescent="0.25">
      <c r="A3" s="4" t="s">
        <v>120</v>
      </c>
      <c r="B3" s="4" t="s">
        <v>154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  <c r="H3" s="4" t="s">
        <v>52</v>
      </c>
      <c r="I3" s="4" t="s">
        <v>135</v>
      </c>
      <c r="J3" s="4" t="s">
        <v>136</v>
      </c>
      <c r="K3" s="4" t="s">
        <v>137</v>
      </c>
      <c r="L3" s="4" t="s">
        <v>138</v>
      </c>
      <c r="M3" s="4" t="s">
        <v>139</v>
      </c>
      <c r="N3" s="4" t="s">
        <v>58</v>
      </c>
      <c r="O3" s="4" t="s">
        <v>122</v>
      </c>
      <c r="P3" s="4" t="s">
        <v>60</v>
      </c>
      <c r="Q3" s="4" t="s">
        <v>155</v>
      </c>
    </row>
    <row r="4" spans="1:17" ht="15" customHeight="1" x14ac:dyDescent="0.25">
      <c r="A4" s="14" t="s">
        <v>156</v>
      </c>
      <c r="B4" s="16" t="s">
        <v>157</v>
      </c>
      <c r="C4" s="15">
        <v>5</v>
      </c>
      <c r="D4" s="15">
        <v>3</v>
      </c>
      <c r="E4" s="15">
        <v>4</v>
      </c>
      <c r="F4" s="15">
        <v>2</v>
      </c>
      <c r="G4" s="15">
        <v>2</v>
      </c>
      <c r="H4" s="6">
        <f t="shared" ref="H4:H39" si="0">C4*0.25+D4*0.2+E4*0.25+F4*0.15+G4*0.15</f>
        <v>3.4499999999999997</v>
      </c>
      <c r="I4" s="15">
        <v>4</v>
      </c>
      <c r="J4" s="15">
        <v>3</v>
      </c>
      <c r="K4" s="15">
        <v>3</v>
      </c>
      <c r="L4" s="15">
        <v>5</v>
      </c>
      <c r="M4" s="15">
        <v>4</v>
      </c>
      <c r="N4" s="6">
        <f t="shared" ref="N4:N39" si="1">I4*0.25+J4*0.25+K4*0.15+L4*0.2+M4*0.15</f>
        <v>3.8000000000000003</v>
      </c>
      <c r="O4" s="6">
        <f t="shared" ref="O4:O39" si="2">H4-N4</f>
        <v>-0.35000000000000053</v>
      </c>
      <c r="P4" s="6" t="str">
        <f t="shared" ref="P4:P39" si="3">IF(O4&lt;=-2,"CRITICAL",IF(O4&lt;=-0.5,"HIGH",IF(O4&lt;=0.5,"MEDIUM",IF(O4&lt;=1.5,"LOW-MEDIUM","LOW"))))</f>
        <v>MEDIUM</v>
      </c>
      <c r="Q4" s="17" t="s">
        <v>158</v>
      </c>
    </row>
    <row r="5" spans="1:17" ht="15" customHeight="1" x14ac:dyDescent="0.25">
      <c r="A5" s="14" t="s">
        <v>156</v>
      </c>
      <c r="B5" s="16" t="s">
        <v>159</v>
      </c>
      <c r="C5" s="15">
        <v>3</v>
      </c>
      <c r="D5" s="15">
        <v>2</v>
      </c>
      <c r="E5" s="15">
        <v>5</v>
      </c>
      <c r="F5" s="15">
        <v>5</v>
      </c>
      <c r="G5" s="15">
        <v>4</v>
      </c>
      <c r="H5" s="6">
        <f t="shared" si="0"/>
        <v>3.75</v>
      </c>
      <c r="I5" s="15">
        <v>1</v>
      </c>
      <c r="J5" s="15">
        <v>1</v>
      </c>
      <c r="K5" s="15">
        <v>2</v>
      </c>
      <c r="L5" s="15">
        <v>2</v>
      </c>
      <c r="M5" s="15">
        <v>1</v>
      </c>
      <c r="N5" s="6">
        <f t="shared" si="1"/>
        <v>1.35</v>
      </c>
      <c r="O5" s="6">
        <f t="shared" si="2"/>
        <v>2.4</v>
      </c>
      <c r="P5" s="6" t="str">
        <f t="shared" si="3"/>
        <v>LOW</v>
      </c>
      <c r="Q5" s="17" t="s">
        <v>160</v>
      </c>
    </row>
    <row r="6" spans="1:17" ht="15" customHeight="1" x14ac:dyDescent="0.25">
      <c r="A6" s="14" t="s">
        <v>156</v>
      </c>
      <c r="B6" s="16" t="s">
        <v>161</v>
      </c>
      <c r="C6" s="15">
        <v>3</v>
      </c>
      <c r="D6" s="15">
        <v>1</v>
      </c>
      <c r="E6" s="15">
        <v>2</v>
      </c>
      <c r="F6" s="15">
        <v>2</v>
      </c>
      <c r="G6" s="15">
        <v>1</v>
      </c>
      <c r="H6" s="6">
        <f t="shared" si="0"/>
        <v>1.9</v>
      </c>
      <c r="I6" s="15">
        <v>5</v>
      </c>
      <c r="J6" s="15">
        <v>4</v>
      </c>
      <c r="K6" s="15">
        <v>2</v>
      </c>
      <c r="L6" s="15">
        <v>4</v>
      </c>
      <c r="M6" s="15">
        <v>5</v>
      </c>
      <c r="N6" s="6">
        <f t="shared" si="1"/>
        <v>4.0999999999999996</v>
      </c>
      <c r="O6" s="6">
        <f t="shared" si="2"/>
        <v>-2.1999999999999997</v>
      </c>
      <c r="P6" s="6" t="str">
        <f t="shared" si="3"/>
        <v>CRITICAL</v>
      </c>
      <c r="Q6" s="17" t="s">
        <v>162</v>
      </c>
    </row>
    <row r="7" spans="1:17" ht="15" customHeight="1" x14ac:dyDescent="0.25">
      <c r="A7" s="14" t="s">
        <v>156</v>
      </c>
      <c r="B7" s="16" t="s">
        <v>163</v>
      </c>
      <c r="C7" s="15">
        <v>4</v>
      </c>
      <c r="D7" s="15">
        <v>5</v>
      </c>
      <c r="E7" s="15">
        <v>4</v>
      </c>
      <c r="F7" s="15">
        <v>4</v>
      </c>
      <c r="G7" s="15">
        <v>3</v>
      </c>
      <c r="H7" s="6">
        <f t="shared" si="0"/>
        <v>4.05</v>
      </c>
      <c r="I7" s="15">
        <v>2</v>
      </c>
      <c r="J7" s="15">
        <v>2</v>
      </c>
      <c r="K7" s="15">
        <v>4</v>
      </c>
      <c r="L7" s="15">
        <v>4</v>
      </c>
      <c r="M7" s="15">
        <v>3</v>
      </c>
      <c r="N7" s="6">
        <f t="shared" si="1"/>
        <v>2.8500000000000005</v>
      </c>
      <c r="O7" s="6">
        <f t="shared" si="2"/>
        <v>1.1999999999999993</v>
      </c>
      <c r="P7" s="6" t="str">
        <f t="shared" si="3"/>
        <v>LOW-MEDIUM</v>
      </c>
      <c r="Q7" s="17" t="s">
        <v>164</v>
      </c>
    </row>
    <row r="8" spans="1:17" ht="15" customHeight="1" x14ac:dyDescent="0.25">
      <c r="A8" s="14" t="s">
        <v>156</v>
      </c>
      <c r="B8" s="16" t="s">
        <v>165</v>
      </c>
      <c r="C8" s="15">
        <v>4</v>
      </c>
      <c r="D8" s="15">
        <v>3</v>
      </c>
      <c r="E8" s="15">
        <v>4</v>
      </c>
      <c r="F8" s="15">
        <v>3</v>
      </c>
      <c r="G8" s="15">
        <v>2</v>
      </c>
      <c r="H8" s="6">
        <f t="shared" si="0"/>
        <v>3.3499999999999996</v>
      </c>
      <c r="I8" s="15">
        <v>1</v>
      </c>
      <c r="J8" s="15">
        <v>1</v>
      </c>
      <c r="K8" s="15">
        <v>2</v>
      </c>
      <c r="L8" s="15">
        <v>3</v>
      </c>
      <c r="M8" s="15">
        <v>2</v>
      </c>
      <c r="N8" s="6">
        <f t="shared" si="1"/>
        <v>1.7000000000000002</v>
      </c>
      <c r="O8" s="6">
        <f t="shared" si="2"/>
        <v>1.6499999999999995</v>
      </c>
      <c r="P8" s="6" t="str">
        <f t="shared" si="3"/>
        <v>LOW</v>
      </c>
      <c r="Q8" s="17" t="s">
        <v>166</v>
      </c>
    </row>
    <row r="9" spans="1:17" ht="15" customHeight="1" x14ac:dyDescent="0.25">
      <c r="A9" s="14" t="s">
        <v>156</v>
      </c>
      <c r="B9" s="16" t="s">
        <v>167</v>
      </c>
      <c r="C9" s="15">
        <v>4</v>
      </c>
      <c r="D9" s="15">
        <v>2</v>
      </c>
      <c r="E9" s="15">
        <v>4</v>
      </c>
      <c r="F9" s="15">
        <v>2</v>
      </c>
      <c r="G9" s="15">
        <v>2</v>
      </c>
      <c r="H9" s="6">
        <f t="shared" si="0"/>
        <v>2.9999999999999996</v>
      </c>
      <c r="I9" s="15">
        <v>2</v>
      </c>
      <c r="J9" s="15">
        <v>2</v>
      </c>
      <c r="K9" s="15">
        <v>3</v>
      </c>
      <c r="L9" s="15">
        <v>4</v>
      </c>
      <c r="M9" s="15">
        <v>3</v>
      </c>
      <c r="N9" s="6">
        <f t="shared" si="1"/>
        <v>2.7</v>
      </c>
      <c r="O9" s="6">
        <f t="shared" si="2"/>
        <v>0.29999999999999938</v>
      </c>
      <c r="P9" s="6" t="str">
        <f t="shared" si="3"/>
        <v>MEDIUM</v>
      </c>
      <c r="Q9" s="17" t="s">
        <v>168</v>
      </c>
    </row>
    <row r="10" spans="1:17" ht="15" customHeight="1" x14ac:dyDescent="0.25">
      <c r="A10" s="14" t="s">
        <v>143</v>
      </c>
      <c r="B10" s="16" t="s">
        <v>169</v>
      </c>
      <c r="C10" s="15">
        <v>2</v>
      </c>
      <c r="D10" s="15">
        <v>1</v>
      </c>
      <c r="E10" s="15">
        <v>5</v>
      </c>
      <c r="F10" s="15">
        <v>2</v>
      </c>
      <c r="G10" s="15">
        <v>3</v>
      </c>
      <c r="H10" s="6">
        <f t="shared" si="0"/>
        <v>2.7</v>
      </c>
      <c r="I10" s="15">
        <v>1</v>
      </c>
      <c r="J10" s="15">
        <v>1</v>
      </c>
      <c r="K10" s="15">
        <v>1</v>
      </c>
      <c r="L10" s="15">
        <v>2</v>
      </c>
      <c r="M10" s="15">
        <v>1</v>
      </c>
      <c r="N10" s="6">
        <f t="shared" si="1"/>
        <v>1.2</v>
      </c>
      <c r="O10" s="6">
        <f t="shared" si="2"/>
        <v>1.5000000000000002</v>
      </c>
      <c r="P10" s="6" t="str">
        <f t="shared" si="3"/>
        <v>LOW-MEDIUM</v>
      </c>
      <c r="Q10" s="17" t="s">
        <v>170</v>
      </c>
    </row>
    <row r="11" spans="1:17" ht="15" customHeight="1" x14ac:dyDescent="0.25">
      <c r="A11" s="14" t="s">
        <v>143</v>
      </c>
      <c r="B11" s="16" t="s">
        <v>171</v>
      </c>
      <c r="C11" s="15">
        <v>4</v>
      </c>
      <c r="D11" s="15">
        <v>1</v>
      </c>
      <c r="E11" s="15">
        <v>5</v>
      </c>
      <c r="F11" s="15">
        <v>3</v>
      </c>
      <c r="G11" s="15">
        <v>3</v>
      </c>
      <c r="H11" s="6">
        <f t="shared" si="0"/>
        <v>3.3500000000000005</v>
      </c>
      <c r="I11" s="15">
        <v>1</v>
      </c>
      <c r="J11" s="15">
        <v>1</v>
      </c>
      <c r="K11" s="15">
        <v>1</v>
      </c>
      <c r="L11" s="15">
        <v>2</v>
      </c>
      <c r="M11" s="15">
        <v>1</v>
      </c>
      <c r="N11" s="6">
        <f t="shared" si="1"/>
        <v>1.2</v>
      </c>
      <c r="O11" s="6">
        <f t="shared" si="2"/>
        <v>2.1500000000000004</v>
      </c>
      <c r="P11" s="6" t="str">
        <f t="shared" si="3"/>
        <v>LOW</v>
      </c>
      <c r="Q11" s="17" t="s">
        <v>172</v>
      </c>
    </row>
    <row r="12" spans="1:17" ht="15" customHeight="1" x14ac:dyDescent="0.25">
      <c r="A12" s="14" t="s">
        <v>143</v>
      </c>
      <c r="B12" s="16" t="s">
        <v>173</v>
      </c>
      <c r="C12" s="15">
        <v>5</v>
      </c>
      <c r="D12" s="15">
        <v>2</v>
      </c>
      <c r="E12" s="15">
        <v>3</v>
      </c>
      <c r="F12" s="15">
        <v>2</v>
      </c>
      <c r="G12" s="15">
        <v>2</v>
      </c>
      <c r="H12" s="6">
        <f t="shared" si="0"/>
        <v>2.9999999999999996</v>
      </c>
      <c r="I12" s="15">
        <v>4</v>
      </c>
      <c r="J12" s="15">
        <v>3</v>
      </c>
      <c r="K12" s="15">
        <v>3</v>
      </c>
      <c r="L12" s="15">
        <v>4</v>
      </c>
      <c r="M12" s="15">
        <v>4</v>
      </c>
      <c r="N12" s="6">
        <f t="shared" si="1"/>
        <v>3.6</v>
      </c>
      <c r="O12" s="6">
        <f t="shared" si="2"/>
        <v>-0.60000000000000053</v>
      </c>
      <c r="P12" s="6" t="str">
        <f t="shared" si="3"/>
        <v>HIGH</v>
      </c>
      <c r="Q12" s="17" t="s">
        <v>174</v>
      </c>
    </row>
    <row r="13" spans="1:17" ht="15" customHeight="1" x14ac:dyDescent="0.25">
      <c r="A13" s="14" t="s">
        <v>143</v>
      </c>
      <c r="B13" s="16" t="s">
        <v>175</v>
      </c>
      <c r="C13" s="15">
        <v>3</v>
      </c>
      <c r="D13" s="15">
        <v>2</v>
      </c>
      <c r="E13" s="15">
        <v>3</v>
      </c>
      <c r="F13" s="15">
        <v>3</v>
      </c>
      <c r="G13" s="15">
        <v>4</v>
      </c>
      <c r="H13" s="6">
        <f t="shared" si="0"/>
        <v>2.9499999999999997</v>
      </c>
      <c r="I13" s="15">
        <v>3</v>
      </c>
      <c r="J13" s="15">
        <v>3</v>
      </c>
      <c r="K13" s="15">
        <v>2</v>
      </c>
      <c r="L13" s="15">
        <v>3</v>
      </c>
      <c r="M13" s="15">
        <v>3</v>
      </c>
      <c r="N13" s="6">
        <f t="shared" si="1"/>
        <v>2.8500000000000005</v>
      </c>
      <c r="O13" s="6">
        <f t="shared" si="2"/>
        <v>9.9999999999999201E-2</v>
      </c>
      <c r="P13" s="6" t="str">
        <f t="shared" si="3"/>
        <v>MEDIUM</v>
      </c>
      <c r="Q13" s="17" t="s">
        <v>176</v>
      </c>
    </row>
    <row r="14" spans="1:17" ht="15" customHeight="1" x14ac:dyDescent="0.25">
      <c r="A14" s="14" t="s">
        <v>144</v>
      </c>
      <c r="B14" s="16" t="s">
        <v>177</v>
      </c>
      <c r="C14" s="15">
        <v>4</v>
      </c>
      <c r="D14" s="15">
        <v>2</v>
      </c>
      <c r="E14" s="15">
        <v>3</v>
      </c>
      <c r="F14" s="15">
        <v>3</v>
      </c>
      <c r="G14" s="15">
        <v>4</v>
      </c>
      <c r="H14" s="6">
        <f t="shared" si="0"/>
        <v>3.1999999999999997</v>
      </c>
      <c r="I14" s="15">
        <v>4</v>
      </c>
      <c r="J14" s="15">
        <v>3</v>
      </c>
      <c r="K14" s="15">
        <v>2</v>
      </c>
      <c r="L14" s="15">
        <v>3</v>
      </c>
      <c r="M14" s="15">
        <v>3</v>
      </c>
      <c r="N14" s="6">
        <f t="shared" si="1"/>
        <v>3.0999999999999996</v>
      </c>
      <c r="O14" s="6">
        <f t="shared" si="2"/>
        <v>0.10000000000000009</v>
      </c>
      <c r="P14" s="6" t="str">
        <f t="shared" si="3"/>
        <v>MEDIUM</v>
      </c>
      <c r="Q14" s="17" t="s">
        <v>178</v>
      </c>
    </row>
    <row r="15" spans="1:17" ht="15" customHeight="1" x14ac:dyDescent="0.25">
      <c r="A15" s="14" t="s">
        <v>144</v>
      </c>
      <c r="B15" s="16" t="s">
        <v>179</v>
      </c>
      <c r="C15" s="15">
        <v>2</v>
      </c>
      <c r="D15" s="15">
        <v>1</v>
      </c>
      <c r="E15" s="15">
        <v>3</v>
      </c>
      <c r="F15" s="15">
        <v>2</v>
      </c>
      <c r="G15" s="15">
        <v>2</v>
      </c>
      <c r="H15" s="6">
        <f t="shared" si="0"/>
        <v>2.0499999999999998</v>
      </c>
      <c r="I15" s="15">
        <v>3</v>
      </c>
      <c r="J15" s="15">
        <v>4</v>
      </c>
      <c r="K15" s="15">
        <v>3</v>
      </c>
      <c r="L15" s="15">
        <v>4</v>
      </c>
      <c r="M15" s="15">
        <v>4</v>
      </c>
      <c r="N15" s="6">
        <f t="shared" si="1"/>
        <v>3.6</v>
      </c>
      <c r="O15" s="6">
        <f t="shared" si="2"/>
        <v>-1.5500000000000003</v>
      </c>
      <c r="P15" s="6" t="str">
        <f t="shared" si="3"/>
        <v>HIGH</v>
      </c>
      <c r="Q15" s="17" t="s">
        <v>180</v>
      </c>
    </row>
    <row r="16" spans="1:17" ht="15" customHeight="1" x14ac:dyDescent="0.25">
      <c r="A16" s="14" t="s">
        <v>144</v>
      </c>
      <c r="B16" s="16" t="s">
        <v>181</v>
      </c>
      <c r="C16" s="15">
        <v>4</v>
      </c>
      <c r="D16" s="15">
        <v>5</v>
      </c>
      <c r="E16" s="15">
        <v>3</v>
      </c>
      <c r="F16" s="15">
        <v>3</v>
      </c>
      <c r="G16" s="15">
        <v>3</v>
      </c>
      <c r="H16" s="6">
        <f t="shared" si="0"/>
        <v>3.6500000000000004</v>
      </c>
      <c r="I16" s="15">
        <v>3</v>
      </c>
      <c r="J16" s="15">
        <v>4</v>
      </c>
      <c r="K16" s="15">
        <v>4</v>
      </c>
      <c r="L16" s="15">
        <v>5</v>
      </c>
      <c r="M16" s="15">
        <v>4</v>
      </c>
      <c r="N16" s="6">
        <f t="shared" si="1"/>
        <v>3.95</v>
      </c>
      <c r="O16" s="6">
        <f t="shared" si="2"/>
        <v>-0.29999999999999982</v>
      </c>
      <c r="P16" s="6" t="str">
        <f t="shared" si="3"/>
        <v>MEDIUM</v>
      </c>
      <c r="Q16" s="17" t="s">
        <v>182</v>
      </c>
    </row>
    <row r="17" spans="1:17" ht="15" customHeight="1" x14ac:dyDescent="0.25">
      <c r="A17" s="14" t="s">
        <v>144</v>
      </c>
      <c r="B17" s="16" t="s">
        <v>183</v>
      </c>
      <c r="C17" s="15">
        <v>3</v>
      </c>
      <c r="D17" s="15">
        <v>4</v>
      </c>
      <c r="E17" s="15">
        <v>3</v>
      </c>
      <c r="F17" s="15">
        <v>3</v>
      </c>
      <c r="G17" s="15">
        <v>4</v>
      </c>
      <c r="H17" s="6">
        <f t="shared" si="0"/>
        <v>3.35</v>
      </c>
      <c r="I17" s="15">
        <v>4</v>
      </c>
      <c r="J17" s="15">
        <v>4</v>
      </c>
      <c r="K17" s="15">
        <v>3</v>
      </c>
      <c r="L17" s="15">
        <v>4</v>
      </c>
      <c r="M17" s="15">
        <v>4</v>
      </c>
      <c r="N17" s="6">
        <f t="shared" si="1"/>
        <v>3.85</v>
      </c>
      <c r="O17" s="6">
        <f t="shared" si="2"/>
        <v>-0.5</v>
      </c>
      <c r="P17" s="6" t="str">
        <f t="shared" si="3"/>
        <v>HIGH</v>
      </c>
      <c r="Q17" s="17" t="s">
        <v>184</v>
      </c>
    </row>
    <row r="18" spans="1:17" ht="15" customHeight="1" x14ac:dyDescent="0.25">
      <c r="A18" s="14" t="s">
        <v>185</v>
      </c>
      <c r="B18" s="16" t="s">
        <v>186</v>
      </c>
      <c r="C18" s="15">
        <v>3</v>
      </c>
      <c r="D18" s="15">
        <v>5</v>
      </c>
      <c r="E18" s="15">
        <v>3</v>
      </c>
      <c r="F18" s="15">
        <v>3</v>
      </c>
      <c r="G18" s="15">
        <v>2</v>
      </c>
      <c r="H18" s="6">
        <f t="shared" si="0"/>
        <v>3.25</v>
      </c>
      <c r="I18" s="15">
        <v>2</v>
      </c>
      <c r="J18" s="15">
        <v>4</v>
      </c>
      <c r="K18" s="15">
        <v>4</v>
      </c>
      <c r="L18" s="15">
        <v>4</v>
      </c>
      <c r="M18" s="15">
        <v>3</v>
      </c>
      <c r="N18" s="6">
        <f t="shared" si="1"/>
        <v>3.3500000000000005</v>
      </c>
      <c r="O18" s="6">
        <f t="shared" si="2"/>
        <v>-0.10000000000000053</v>
      </c>
      <c r="P18" s="6" t="str">
        <f t="shared" si="3"/>
        <v>MEDIUM</v>
      </c>
      <c r="Q18" s="17" t="s">
        <v>187</v>
      </c>
    </row>
    <row r="19" spans="1:17" ht="15" customHeight="1" x14ac:dyDescent="0.25">
      <c r="A19" s="14" t="s">
        <v>185</v>
      </c>
      <c r="B19" s="16" t="s">
        <v>188</v>
      </c>
      <c r="C19" s="15">
        <v>2</v>
      </c>
      <c r="D19" s="15">
        <v>1</v>
      </c>
      <c r="E19" s="15">
        <v>4</v>
      </c>
      <c r="F19" s="15">
        <v>3</v>
      </c>
      <c r="G19" s="15">
        <v>2</v>
      </c>
      <c r="H19" s="6">
        <f t="shared" si="0"/>
        <v>2.4499999999999997</v>
      </c>
      <c r="I19" s="15">
        <v>2</v>
      </c>
      <c r="J19" s="15">
        <v>2</v>
      </c>
      <c r="K19" s="15">
        <v>1</v>
      </c>
      <c r="L19" s="15">
        <v>1</v>
      </c>
      <c r="M19" s="15">
        <v>1</v>
      </c>
      <c r="N19" s="6">
        <f t="shared" si="1"/>
        <v>1.4999999999999998</v>
      </c>
      <c r="O19" s="6">
        <f t="shared" si="2"/>
        <v>0.95</v>
      </c>
      <c r="P19" s="6" t="str">
        <f t="shared" si="3"/>
        <v>LOW-MEDIUM</v>
      </c>
      <c r="Q19" s="17" t="s">
        <v>189</v>
      </c>
    </row>
    <row r="20" spans="1:17" ht="15" customHeight="1" x14ac:dyDescent="0.25">
      <c r="A20" s="14" t="s">
        <v>185</v>
      </c>
      <c r="B20" s="16" t="s">
        <v>190</v>
      </c>
      <c r="C20" s="15">
        <v>2</v>
      </c>
      <c r="D20" s="15">
        <v>2</v>
      </c>
      <c r="E20" s="15">
        <v>5</v>
      </c>
      <c r="F20" s="15">
        <v>1</v>
      </c>
      <c r="G20" s="15">
        <v>1</v>
      </c>
      <c r="H20" s="6">
        <f t="shared" si="0"/>
        <v>2.4499999999999997</v>
      </c>
      <c r="I20" s="15">
        <v>1</v>
      </c>
      <c r="J20" s="15">
        <v>3</v>
      </c>
      <c r="K20" s="15">
        <v>2</v>
      </c>
      <c r="L20" s="15">
        <v>2</v>
      </c>
      <c r="M20" s="15">
        <v>1</v>
      </c>
      <c r="N20" s="6">
        <f t="shared" si="1"/>
        <v>1.85</v>
      </c>
      <c r="O20" s="6">
        <f t="shared" si="2"/>
        <v>0.59999999999999964</v>
      </c>
      <c r="P20" s="6" t="str">
        <f t="shared" si="3"/>
        <v>LOW-MEDIUM</v>
      </c>
      <c r="Q20" s="17" t="s">
        <v>191</v>
      </c>
    </row>
    <row r="21" spans="1:17" ht="15" customHeight="1" x14ac:dyDescent="0.25">
      <c r="A21" s="14" t="s">
        <v>185</v>
      </c>
      <c r="B21" s="16" t="s">
        <v>192</v>
      </c>
      <c r="C21" s="15">
        <v>2</v>
      </c>
      <c r="D21" s="15">
        <v>3</v>
      </c>
      <c r="E21" s="15">
        <v>3</v>
      </c>
      <c r="F21" s="15">
        <v>2</v>
      </c>
      <c r="G21" s="15">
        <v>2</v>
      </c>
      <c r="H21" s="6">
        <f t="shared" si="0"/>
        <v>2.4499999999999997</v>
      </c>
      <c r="I21" s="15">
        <v>3</v>
      </c>
      <c r="J21" s="15">
        <v>5</v>
      </c>
      <c r="K21" s="15">
        <v>3</v>
      </c>
      <c r="L21" s="15">
        <v>4</v>
      </c>
      <c r="M21" s="15">
        <v>3</v>
      </c>
      <c r="N21" s="6">
        <f t="shared" si="1"/>
        <v>3.7</v>
      </c>
      <c r="O21" s="6">
        <f t="shared" si="2"/>
        <v>-1.2500000000000004</v>
      </c>
      <c r="P21" s="6" t="str">
        <f t="shared" si="3"/>
        <v>HIGH</v>
      </c>
      <c r="Q21" s="17" t="s">
        <v>193</v>
      </c>
    </row>
    <row r="22" spans="1:17" ht="15" customHeight="1" x14ac:dyDescent="0.25">
      <c r="A22" s="14" t="s">
        <v>194</v>
      </c>
      <c r="B22" s="16" t="s">
        <v>195</v>
      </c>
      <c r="C22" s="15">
        <v>4</v>
      </c>
      <c r="D22" s="15">
        <v>5</v>
      </c>
      <c r="E22" s="15">
        <v>4</v>
      </c>
      <c r="F22" s="15">
        <v>2</v>
      </c>
      <c r="G22" s="15">
        <v>2</v>
      </c>
      <c r="H22" s="6">
        <f t="shared" si="0"/>
        <v>3.5999999999999996</v>
      </c>
      <c r="I22" s="15">
        <v>2</v>
      </c>
      <c r="J22" s="15">
        <v>2</v>
      </c>
      <c r="K22" s="15">
        <v>4</v>
      </c>
      <c r="L22" s="15">
        <v>4</v>
      </c>
      <c r="M22" s="15">
        <v>3</v>
      </c>
      <c r="N22" s="6">
        <f t="shared" si="1"/>
        <v>2.8500000000000005</v>
      </c>
      <c r="O22" s="6">
        <f t="shared" si="2"/>
        <v>0.74999999999999911</v>
      </c>
      <c r="P22" s="6" t="str">
        <f t="shared" si="3"/>
        <v>LOW-MEDIUM</v>
      </c>
      <c r="Q22" s="17" t="s">
        <v>196</v>
      </c>
    </row>
    <row r="23" spans="1:17" ht="15" customHeight="1" x14ac:dyDescent="0.25">
      <c r="A23" s="14" t="s">
        <v>194</v>
      </c>
      <c r="B23" s="16" t="s">
        <v>197</v>
      </c>
      <c r="C23" s="15">
        <v>2</v>
      </c>
      <c r="D23" s="15">
        <v>3</v>
      </c>
      <c r="E23" s="15">
        <v>4</v>
      </c>
      <c r="F23" s="15">
        <v>2</v>
      </c>
      <c r="G23" s="15">
        <v>3</v>
      </c>
      <c r="H23" s="6">
        <f t="shared" si="0"/>
        <v>2.8499999999999996</v>
      </c>
      <c r="I23" s="15">
        <v>2</v>
      </c>
      <c r="J23" s="15">
        <v>4</v>
      </c>
      <c r="K23" s="15">
        <v>3</v>
      </c>
      <c r="L23" s="15">
        <v>3</v>
      </c>
      <c r="M23" s="15">
        <v>4</v>
      </c>
      <c r="N23" s="6">
        <f t="shared" si="1"/>
        <v>3.15</v>
      </c>
      <c r="O23" s="6">
        <f t="shared" si="2"/>
        <v>-0.30000000000000027</v>
      </c>
      <c r="P23" s="6" t="str">
        <f t="shared" si="3"/>
        <v>MEDIUM</v>
      </c>
      <c r="Q23" s="17" t="s">
        <v>198</v>
      </c>
    </row>
    <row r="24" spans="1:17" ht="15" customHeight="1" x14ac:dyDescent="0.25">
      <c r="A24" s="14" t="s">
        <v>194</v>
      </c>
      <c r="B24" s="16" t="s">
        <v>199</v>
      </c>
      <c r="C24" s="15">
        <v>3</v>
      </c>
      <c r="D24" s="15">
        <v>1</v>
      </c>
      <c r="E24" s="15">
        <v>2</v>
      </c>
      <c r="F24" s="15">
        <v>3</v>
      </c>
      <c r="G24" s="15">
        <v>5</v>
      </c>
      <c r="H24" s="6">
        <f t="shared" si="0"/>
        <v>2.65</v>
      </c>
      <c r="I24" s="15">
        <v>2</v>
      </c>
      <c r="J24" s="15">
        <v>1</v>
      </c>
      <c r="K24" s="15">
        <v>1</v>
      </c>
      <c r="L24" s="15">
        <v>1</v>
      </c>
      <c r="M24" s="15">
        <v>1</v>
      </c>
      <c r="N24" s="6">
        <f t="shared" si="1"/>
        <v>1.25</v>
      </c>
      <c r="O24" s="6">
        <f t="shared" si="2"/>
        <v>1.4</v>
      </c>
      <c r="P24" s="6" t="str">
        <f t="shared" si="3"/>
        <v>LOW-MEDIUM</v>
      </c>
      <c r="Q24" s="17" t="s">
        <v>200</v>
      </c>
    </row>
    <row r="25" spans="1:17" ht="15" customHeight="1" x14ac:dyDescent="0.25">
      <c r="A25" s="14" t="s">
        <v>146</v>
      </c>
      <c r="B25" s="16" t="s">
        <v>201</v>
      </c>
      <c r="C25" s="15">
        <v>4</v>
      </c>
      <c r="D25" s="15">
        <v>1</v>
      </c>
      <c r="E25" s="15">
        <v>4</v>
      </c>
      <c r="F25" s="15">
        <v>4</v>
      </c>
      <c r="G25" s="15">
        <v>5</v>
      </c>
      <c r="H25" s="6">
        <f t="shared" si="0"/>
        <v>3.5500000000000003</v>
      </c>
      <c r="I25" s="15">
        <v>2</v>
      </c>
      <c r="J25" s="15">
        <v>1</v>
      </c>
      <c r="K25" s="15">
        <v>1</v>
      </c>
      <c r="L25" s="15">
        <v>1</v>
      </c>
      <c r="M25" s="15">
        <v>1</v>
      </c>
      <c r="N25" s="6">
        <f t="shared" si="1"/>
        <v>1.25</v>
      </c>
      <c r="O25" s="6">
        <f t="shared" si="2"/>
        <v>2.3000000000000003</v>
      </c>
      <c r="P25" s="6" t="str">
        <f t="shared" si="3"/>
        <v>LOW</v>
      </c>
      <c r="Q25" s="17" t="s">
        <v>202</v>
      </c>
    </row>
    <row r="26" spans="1:17" ht="15" customHeight="1" x14ac:dyDescent="0.25">
      <c r="A26" s="14" t="s">
        <v>146</v>
      </c>
      <c r="B26" s="16" t="s">
        <v>203</v>
      </c>
      <c r="C26" s="15">
        <v>3</v>
      </c>
      <c r="D26" s="15">
        <v>1</v>
      </c>
      <c r="E26" s="15">
        <v>3</v>
      </c>
      <c r="F26" s="15">
        <v>3</v>
      </c>
      <c r="G26" s="15">
        <v>3</v>
      </c>
      <c r="H26" s="6">
        <f t="shared" si="0"/>
        <v>2.5999999999999996</v>
      </c>
      <c r="I26" s="15">
        <v>3</v>
      </c>
      <c r="J26" s="15">
        <v>2</v>
      </c>
      <c r="K26" s="15">
        <v>2</v>
      </c>
      <c r="L26" s="15">
        <v>3</v>
      </c>
      <c r="M26" s="15">
        <v>2</v>
      </c>
      <c r="N26" s="6">
        <f t="shared" si="1"/>
        <v>2.4500000000000002</v>
      </c>
      <c r="O26" s="6">
        <f t="shared" si="2"/>
        <v>0.14999999999999947</v>
      </c>
      <c r="P26" s="6" t="str">
        <f t="shared" si="3"/>
        <v>MEDIUM</v>
      </c>
      <c r="Q26" s="17" t="s">
        <v>204</v>
      </c>
    </row>
    <row r="27" spans="1:17" ht="15" customHeight="1" x14ac:dyDescent="0.25">
      <c r="A27" s="14" t="s">
        <v>146</v>
      </c>
      <c r="B27" s="16" t="s">
        <v>205</v>
      </c>
      <c r="C27" s="15">
        <v>2</v>
      </c>
      <c r="D27" s="15">
        <v>2</v>
      </c>
      <c r="E27" s="15">
        <v>2</v>
      </c>
      <c r="F27" s="15">
        <v>3</v>
      </c>
      <c r="G27" s="15">
        <v>3</v>
      </c>
      <c r="H27" s="6">
        <f t="shared" si="0"/>
        <v>2.2999999999999998</v>
      </c>
      <c r="I27" s="15">
        <v>4</v>
      </c>
      <c r="J27" s="15">
        <v>3</v>
      </c>
      <c r="K27" s="15">
        <v>2</v>
      </c>
      <c r="L27" s="15">
        <v>3</v>
      </c>
      <c r="M27" s="15">
        <v>3</v>
      </c>
      <c r="N27" s="6">
        <f t="shared" si="1"/>
        <v>3.0999999999999996</v>
      </c>
      <c r="O27" s="6">
        <f t="shared" si="2"/>
        <v>-0.79999999999999982</v>
      </c>
      <c r="P27" s="6" t="str">
        <f t="shared" si="3"/>
        <v>HIGH</v>
      </c>
      <c r="Q27" s="17" t="s">
        <v>206</v>
      </c>
    </row>
    <row r="28" spans="1:17" ht="15" customHeight="1" x14ac:dyDescent="0.25">
      <c r="A28" s="14" t="s">
        <v>146</v>
      </c>
      <c r="B28" s="16" t="s">
        <v>207</v>
      </c>
      <c r="C28" s="15">
        <v>1</v>
      </c>
      <c r="D28" s="15">
        <v>1</v>
      </c>
      <c r="E28" s="15">
        <v>1</v>
      </c>
      <c r="F28" s="15">
        <v>1</v>
      </c>
      <c r="G28" s="15">
        <v>1</v>
      </c>
      <c r="H28" s="6">
        <f t="shared" si="0"/>
        <v>1</v>
      </c>
      <c r="I28" s="15">
        <v>5</v>
      </c>
      <c r="J28" s="15">
        <v>5</v>
      </c>
      <c r="K28" s="15">
        <v>3</v>
      </c>
      <c r="L28" s="15">
        <v>5</v>
      </c>
      <c r="M28" s="15">
        <v>5</v>
      </c>
      <c r="N28" s="6">
        <f t="shared" si="1"/>
        <v>4.7</v>
      </c>
      <c r="O28" s="6">
        <f t="shared" si="2"/>
        <v>-3.7</v>
      </c>
      <c r="P28" s="6" t="str">
        <f t="shared" si="3"/>
        <v>CRITICAL</v>
      </c>
      <c r="Q28" s="17" t="s">
        <v>208</v>
      </c>
    </row>
    <row r="29" spans="1:17" ht="15" customHeight="1" x14ac:dyDescent="0.25">
      <c r="A29" s="14" t="s">
        <v>148</v>
      </c>
      <c r="B29" s="16" t="s">
        <v>209</v>
      </c>
      <c r="C29" s="15">
        <v>1</v>
      </c>
      <c r="D29" s="15">
        <v>1</v>
      </c>
      <c r="E29" s="15">
        <v>2</v>
      </c>
      <c r="F29" s="15">
        <v>5</v>
      </c>
      <c r="G29" s="15">
        <v>5</v>
      </c>
      <c r="H29" s="6">
        <f t="shared" si="0"/>
        <v>2.4500000000000002</v>
      </c>
      <c r="I29" s="15">
        <v>1</v>
      </c>
      <c r="J29" s="15">
        <v>1</v>
      </c>
      <c r="K29" s="15">
        <v>1</v>
      </c>
      <c r="L29" s="15">
        <v>1</v>
      </c>
      <c r="M29" s="15">
        <v>1</v>
      </c>
      <c r="N29" s="6">
        <f t="shared" si="1"/>
        <v>1</v>
      </c>
      <c r="O29" s="6">
        <f t="shared" si="2"/>
        <v>1.4500000000000002</v>
      </c>
      <c r="P29" s="6" t="str">
        <f t="shared" si="3"/>
        <v>LOW-MEDIUM</v>
      </c>
      <c r="Q29" s="17" t="s">
        <v>210</v>
      </c>
    </row>
    <row r="30" spans="1:17" ht="15" customHeight="1" x14ac:dyDescent="0.25">
      <c r="A30" s="14" t="s">
        <v>148</v>
      </c>
      <c r="B30" s="16" t="s">
        <v>211</v>
      </c>
      <c r="C30" s="15">
        <v>2</v>
      </c>
      <c r="D30" s="15">
        <v>1</v>
      </c>
      <c r="E30" s="15">
        <v>3</v>
      </c>
      <c r="F30" s="15">
        <v>3</v>
      </c>
      <c r="G30" s="15">
        <v>3</v>
      </c>
      <c r="H30" s="6">
        <f t="shared" si="0"/>
        <v>2.3499999999999996</v>
      </c>
      <c r="I30" s="15">
        <v>2</v>
      </c>
      <c r="J30" s="15">
        <v>1</v>
      </c>
      <c r="K30" s="15">
        <v>1</v>
      </c>
      <c r="L30" s="15">
        <v>2</v>
      </c>
      <c r="M30" s="15">
        <v>1</v>
      </c>
      <c r="N30" s="6">
        <f t="shared" si="1"/>
        <v>1.45</v>
      </c>
      <c r="O30" s="6">
        <f t="shared" si="2"/>
        <v>0.89999999999999969</v>
      </c>
      <c r="P30" s="6" t="str">
        <f t="shared" si="3"/>
        <v>LOW-MEDIUM</v>
      </c>
      <c r="Q30" s="17" t="s">
        <v>212</v>
      </c>
    </row>
    <row r="31" spans="1:17" ht="15" customHeight="1" x14ac:dyDescent="0.25">
      <c r="A31" s="14" t="s">
        <v>148</v>
      </c>
      <c r="B31" s="16" t="s">
        <v>213</v>
      </c>
      <c r="C31" s="15">
        <v>2</v>
      </c>
      <c r="D31" s="15">
        <v>1</v>
      </c>
      <c r="E31" s="15">
        <v>3</v>
      </c>
      <c r="F31" s="15">
        <v>2</v>
      </c>
      <c r="G31" s="15">
        <v>2</v>
      </c>
      <c r="H31" s="6">
        <f t="shared" si="0"/>
        <v>2.0499999999999998</v>
      </c>
      <c r="I31" s="15">
        <v>1</v>
      </c>
      <c r="J31" s="15">
        <v>1</v>
      </c>
      <c r="K31" s="15">
        <v>1</v>
      </c>
      <c r="L31" s="15">
        <v>2</v>
      </c>
      <c r="M31" s="15">
        <v>1</v>
      </c>
      <c r="N31" s="6">
        <f t="shared" si="1"/>
        <v>1.2</v>
      </c>
      <c r="O31" s="6">
        <f t="shared" si="2"/>
        <v>0.84999999999999987</v>
      </c>
      <c r="P31" s="6" t="str">
        <f t="shared" si="3"/>
        <v>LOW-MEDIUM</v>
      </c>
      <c r="Q31" s="17" t="s">
        <v>214</v>
      </c>
    </row>
    <row r="32" spans="1:17" ht="15" customHeight="1" x14ac:dyDescent="0.25">
      <c r="A32" s="14" t="s">
        <v>215</v>
      </c>
      <c r="B32" s="16" t="s">
        <v>216</v>
      </c>
      <c r="C32" s="15">
        <v>2</v>
      </c>
      <c r="D32" s="15">
        <v>1</v>
      </c>
      <c r="E32" s="15">
        <v>5</v>
      </c>
      <c r="F32" s="15">
        <v>4</v>
      </c>
      <c r="G32" s="15">
        <v>3</v>
      </c>
      <c r="H32" s="6">
        <f t="shared" si="0"/>
        <v>3</v>
      </c>
      <c r="I32" s="15">
        <v>1</v>
      </c>
      <c r="J32" s="15">
        <v>1</v>
      </c>
      <c r="K32" s="15">
        <v>1</v>
      </c>
      <c r="L32" s="15">
        <v>1</v>
      </c>
      <c r="M32" s="15">
        <v>1</v>
      </c>
      <c r="N32" s="6">
        <f t="shared" si="1"/>
        <v>1</v>
      </c>
      <c r="O32" s="6">
        <f t="shared" si="2"/>
        <v>2</v>
      </c>
      <c r="P32" s="6" t="str">
        <f t="shared" si="3"/>
        <v>LOW</v>
      </c>
      <c r="Q32" s="17" t="s">
        <v>217</v>
      </c>
    </row>
    <row r="33" spans="1:17" ht="15" customHeight="1" x14ac:dyDescent="0.25">
      <c r="A33" s="14" t="s">
        <v>215</v>
      </c>
      <c r="B33" s="16" t="s">
        <v>218</v>
      </c>
      <c r="C33" s="15">
        <v>1</v>
      </c>
      <c r="D33" s="15">
        <v>1</v>
      </c>
      <c r="E33" s="15">
        <v>4</v>
      </c>
      <c r="F33" s="15">
        <v>4</v>
      </c>
      <c r="G33" s="15">
        <v>2</v>
      </c>
      <c r="H33" s="6">
        <f t="shared" si="0"/>
        <v>2.3499999999999996</v>
      </c>
      <c r="I33" s="15">
        <v>1</v>
      </c>
      <c r="J33" s="15">
        <v>2</v>
      </c>
      <c r="K33" s="15">
        <v>1</v>
      </c>
      <c r="L33" s="15">
        <v>2</v>
      </c>
      <c r="M33" s="15">
        <v>1</v>
      </c>
      <c r="N33" s="6">
        <f t="shared" si="1"/>
        <v>1.45</v>
      </c>
      <c r="O33" s="6">
        <f t="shared" si="2"/>
        <v>0.89999999999999969</v>
      </c>
      <c r="P33" s="6" t="str">
        <f t="shared" si="3"/>
        <v>LOW-MEDIUM</v>
      </c>
      <c r="Q33" s="17" t="s">
        <v>219</v>
      </c>
    </row>
    <row r="34" spans="1:17" ht="15" customHeight="1" x14ac:dyDescent="0.25">
      <c r="A34" s="14" t="s">
        <v>215</v>
      </c>
      <c r="B34" s="16" t="s">
        <v>220</v>
      </c>
      <c r="C34" s="15">
        <v>2</v>
      </c>
      <c r="D34" s="15">
        <v>1</v>
      </c>
      <c r="E34" s="15">
        <v>3</v>
      </c>
      <c r="F34" s="15">
        <v>4</v>
      </c>
      <c r="G34" s="15">
        <v>3</v>
      </c>
      <c r="H34" s="6">
        <f t="shared" si="0"/>
        <v>2.5</v>
      </c>
      <c r="I34" s="15">
        <v>2</v>
      </c>
      <c r="J34" s="15">
        <v>3</v>
      </c>
      <c r="K34" s="15">
        <v>2</v>
      </c>
      <c r="L34" s="15">
        <v>2</v>
      </c>
      <c r="M34" s="15">
        <v>2</v>
      </c>
      <c r="N34" s="6">
        <f t="shared" si="1"/>
        <v>2.25</v>
      </c>
      <c r="O34" s="6">
        <f t="shared" si="2"/>
        <v>0.25</v>
      </c>
      <c r="P34" s="6" t="str">
        <f t="shared" si="3"/>
        <v>MEDIUM</v>
      </c>
      <c r="Q34" s="17" t="s">
        <v>221</v>
      </c>
    </row>
    <row r="35" spans="1:17" ht="15" customHeight="1" x14ac:dyDescent="0.25">
      <c r="A35" s="14" t="s">
        <v>149</v>
      </c>
      <c r="B35" s="16" t="s">
        <v>222</v>
      </c>
      <c r="C35" s="15">
        <v>3</v>
      </c>
      <c r="D35" s="15">
        <v>1</v>
      </c>
      <c r="E35" s="15">
        <v>2</v>
      </c>
      <c r="F35" s="15">
        <v>3</v>
      </c>
      <c r="G35" s="15">
        <v>5</v>
      </c>
      <c r="H35" s="6">
        <f t="shared" si="0"/>
        <v>2.65</v>
      </c>
      <c r="I35" s="15">
        <v>1</v>
      </c>
      <c r="J35" s="15">
        <v>1</v>
      </c>
      <c r="K35" s="15">
        <v>1</v>
      </c>
      <c r="L35" s="15">
        <v>1</v>
      </c>
      <c r="M35" s="15">
        <v>1</v>
      </c>
      <c r="N35" s="6">
        <f t="shared" si="1"/>
        <v>1</v>
      </c>
      <c r="O35" s="6">
        <f t="shared" si="2"/>
        <v>1.65</v>
      </c>
      <c r="P35" s="6" t="str">
        <f t="shared" si="3"/>
        <v>LOW</v>
      </c>
      <c r="Q35" s="17" t="s">
        <v>223</v>
      </c>
    </row>
    <row r="36" spans="1:17" ht="15" customHeight="1" x14ac:dyDescent="0.25">
      <c r="A36" s="14" t="s">
        <v>150</v>
      </c>
      <c r="B36" s="16" t="s">
        <v>224</v>
      </c>
      <c r="C36" s="15">
        <v>4</v>
      </c>
      <c r="D36" s="15">
        <v>2</v>
      </c>
      <c r="E36" s="15">
        <v>3</v>
      </c>
      <c r="F36" s="15">
        <v>3</v>
      </c>
      <c r="G36" s="15">
        <v>3</v>
      </c>
      <c r="H36" s="6">
        <f t="shared" si="0"/>
        <v>3.05</v>
      </c>
      <c r="I36" s="15">
        <v>1</v>
      </c>
      <c r="J36" s="15">
        <v>1</v>
      </c>
      <c r="K36" s="15">
        <v>2</v>
      </c>
      <c r="L36" s="15">
        <v>2</v>
      </c>
      <c r="M36" s="15">
        <v>1</v>
      </c>
      <c r="N36" s="6">
        <f t="shared" si="1"/>
        <v>1.35</v>
      </c>
      <c r="O36" s="6">
        <f t="shared" si="2"/>
        <v>1.6999999999999997</v>
      </c>
      <c r="P36" s="6" t="str">
        <f t="shared" si="3"/>
        <v>LOW</v>
      </c>
      <c r="Q36" s="17" t="s">
        <v>225</v>
      </c>
    </row>
    <row r="37" spans="1:17" ht="15" customHeight="1" x14ac:dyDescent="0.25">
      <c r="A37" s="14" t="s">
        <v>150</v>
      </c>
      <c r="B37" s="16" t="s">
        <v>226</v>
      </c>
      <c r="C37" s="15">
        <v>2</v>
      </c>
      <c r="D37" s="15">
        <v>1</v>
      </c>
      <c r="E37" s="15">
        <v>1</v>
      </c>
      <c r="F37" s="15">
        <v>2</v>
      </c>
      <c r="G37" s="15">
        <v>3</v>
      </c>
      <c r="H37" s="6">
        <f t="shared" si="0"/>
        <v>1.7</v>
      </c>
      <c r="I37" s="15">
        <v>3</v>
      </c>
      <c r="J37" s="15">
        <v>5</v>
      </c>
      <c r="K37" s="15">
        <v>2</v>
      </c>
      <c r="L37" s="15">
        <v>3</v>
      </c>
      <c r="M37" s="15">
        <v>3</v>
      </c>
      <c r="N37" s="6">
        <f t="shared" si="1"/>
        <v>3.3499999999999996</v>
      </c>
      <c r="O37" s="6">
        <f t="shared" si="2"/>
        <v>-1.6499999999999997</v>
      </c>
      <c r="P37" s="6" t="str">
        <f t="shared" si="3"/>
        <v>HIGH</v>
      </c>
      <c r="Q37" s="17" t="s">
        <v>227</v>
      </c>
    </row>
    <row r="38" spans="1:17" ht="15" customHeight="1" x14ac:dyDescent="0.25">
      <c r="A38" s="14" t="s">
        <v>151</v>
      </c>
      <c r="B38" s="16" t="s">
        <v>228</v>
      </c>
      <c r="C38" s="15">
        <v>2</v>
      </c>
      <c r="D38" s="15">
        <v>1</v>
      </c>
      <c r="E38" s="15">
        <v>3</v>
      </c>
      <c r="F38" s="15">
        <v>4</v>
      </c>
      <c r="G38" s="15">
        <v>3</v>
      </c>
      <c r="H38" s="6">
        <f t="shared" si="0"/>
        <v>2.5</v>
      </c>
      <c r="I38" s="15">
        <v>1</v>
      </c>
      <c r="J38" s="15">
        <v>1</v>
      </c>
      <c r="K38" s="15">
        <v>1</v>
      </c>
      <c r="L38" s="15">
        <v>1</v>
      </c>
      <c r="M38" s="15">
        <v>1</v>
      </c>
      <c r="N38" s="6">
        <f t="shared" si="1"/>
        <v>1</v>
      </c>
      <c r="O38" s="6">
        <f t="shared" si="2"/>
        <v>1.5</v>
      </c>
      <c r="P38" s="6" t="str">
        <f t="shared" si="3"/>
        <v>LOW-MEDIUM</v>
      </c>
      <c r="Q38" s="17" t="s">
        <v>229</v>
      </c>
    </row>
    <row r="39" spans="1:17" ht="15" customHeight="1" x14ac:dyDescent="0.25">
      <c r="A39" s="14" t="s">
        <v>151</v>
      </c>
      <c r="B39" s="16" t="s">
        <v>230</v>
      </c>
      <c r="C39" s="15">
        <v>1</v>
      </c>
      <c r="D39" s="15">
        <v>1</v>
      </c>
      <c r="E39" s="15">
        <v>1</v>
      </c>
      <c r="F39" s="15">
        <v>5</v>
      </c>
      <c r="G39" s="15">
        <v>4</v>
      </c>
      <c r="H39" s="6">
        <f t="shared" si="0"/>
        <v>2.0499999999999998</v>
      </c>
      <c r="I39" s="15">
        <v>1</v>
      </c>
      <c r="J39" s="15">
        <v>1</v>
      </c>
      <c r="K39" s="15">
        <v>1</v>
      </c>
      <c r="L39" s="15">
        <v>1</v>
      </c>
      <c r="M39" s="15">
        <v>1</v>
      </c>
      <c r="N39" s="6">
        <f t="shared" si="1"/>
        <v>1</v>
      </c>
      <c r="O39" s="6">
        <f t="shared" si="2"/>
        <v>1.0499999999999998</v>
      </c>
      <c r="P39" s="6" t="str">
        <f t="shared" si="3"/>
        <v>LOW-MEDIUM</v>
      </c>
      <c r="Q39" s="17" t="s">
        <v>231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3666A"/>
  </sheetPr>
  <dimension ref="A1:C64"/>
  <sheetViews>
    <sheetView tabSelected="1" zoomScaleNormal="100" workbookViewId="0">
      <selection activeCell="L20" sqref="L20"/>
    </sheetView>
  </sheetViews>
  <sheetFormatPr defaultColWidth="8.7109375" defaultRowHeight="15" x14ac:dyDescent="0.25"/>
  <cols>
    <col min="1" max="1" width="28" customWidth="1"/>
    <col min="2" max="2" width="45" customWidth="1"/>
    <col min="3" max="3" width="65" customWidth="1"/>
  </cols>
  <sheetData>
    <row r="1" spans="1:3" ht="17.25" customHeight="1" x14ac:dyDescent="0.25">
      <c r="A1" s="1" t="s">
        <v>232</v>
      </c>
    </row>
    <row r="3" spans="1:3" ht="15" customHeight="1" x14ac:dyDescent="0.25">
      <c r="A3" s="18"/>
      <c r="B3" s="19"/>
      <c r="C3" s="19"/>
    </row>
    <row r="4" spans="1:3" ht="15" customHeight="1" x14ac:dyDescent="0.25">
      <c r="A4" s="20" t="s">
        <v>233</v>
      </c>
      <c r="B4" s="19"/>
      <c r="C4" s="19"/>
    </row>
    <row r="5" spans="1:3" ht="15" customHeight="1" x14ac:dyDescent="0.25">
      <c r="A5" s="18" t="s">
        <v>234</v>
      </c>
      <c r="B5" s="19" t="s">
        <v>235</v>
      </c>
      <c r="C5" s="19" t="s">
        <v>236</v>
      </c>
    </row>
    <row r="6" spans="1:3" ht="15" customHeight="1" x14ac:dyDescent="0.25">
      <c r="A6" s="18" t="s">
        <v>237</v>
      </c>
      <c r="B6" s="19" t="s">
        <v>238</v>
      </c>
      <c r="C6" s="19" t="s">
        <v>239</v>
      </c>
    </row>
    <row r="7" spans="1:3" ht="15" customHeight="1" x14ac:dyDescent="0.25">
      <c r="A7" s="18"/>
      <c r="B7" s="19"/>
      <c r="C7" s="19"/>
    </row>
    <row r="8" spans="1:3" ht="15" customHeight="1" x14ac:dyDescent="0.25">
      <c r="A8" s="20" t="s">
        <v>240</v>
      </c>
      <c r="B8" s="19"/>
      <c r="C8" s="19"/>
    </row>
    <row r="9" spans="1:3" ht="15" customHeight="1" x14ac:dyDescent="0.25">
      <c r="A9" s="18" t="s">
        <v>241</v>
      </c>
      <c r="B9" s="19" t="s">
        <v>242</v>
      </c>
      <c r="C9" s="19" t="s">
        <v>243</v>
      </c>
    </row>
    <row r="10" spans="1:3" ht="15" customHeight="1" x14ac:dyDescent="0.25">
      <c r="A10" s="18" t="s">
        <v>244</v>
      </c>
      <c r="B10" s="19" t="s">
        <v>245</v>
      </c>
      <c r="C10" s="19" t="s">
        <v>246</v>
      </c>
    </row>
    <row r="11" spans="1:3" ht="15" customHeight="1" x14ac:dyDescent="0.25">
      <c r="A11" s="18" t="s">
        <v>247</v>
      </c>
      <c r="B11" s="19" t="s">
        <v>248</v>
      </c>
      <c r="C11" s="19" t="s">
        <v>249</v>
      </c>
    </row>
    <row r="12" spans="1:3" ht="15" customHeight="1" x14ac:dyDescent="0.25">
      <c r="A12" s="18"/>
      <c r="B12" s="19"/>
      <c r="C12" s="19"/>
    </row>
    <row r="13" spans="1:3" ht="23.25" customHeight="1" x14ac:dyDescent="0.25">
      <c r="A13" s="18" t="s">
        <v>250</v>
      </c>
      <c r="B13" s="19"/>
      <c r="C13" s="19"/>
    </row>
    <row r="14" spans="1:3" ht="15" customHeight="1" x14ac:dyDescent="0.25">
      <c r="A14" s="18" t="s">
        <v>251</v>
      </c>
      <c r="B14" s="19" t="s">
        <v>252</v>
      </c>
      <c r="C14" s="19" t="s">
        <v>253</v>
      </c>
    </row>
    <row r="15" spans="1:3" ht="15" customHeight="1" x14ac:dyDescent="0.25">
      <c r="A15" s="18" t="s">
        <v>254</v>
      </c>
      <c r="B15" s="19" t="s">
        <v>255</v>
      </c>
      <c r="C15" s="19" t="s">
        <v>256</v>
      </c>
    </row>
    <row r="16" spans="1:3" ht="15" customHeight="1" x14ac:dyDescent="0.25">
      <c r="A16" s="18" t="s">
        <v>257</v>
      </c>
      <c r="B16" s="19" t="s">
        <v>258</v>
      </c>
      <c r="C16" s="19" t="s">
        <v>259</v>
      </c>
    </row>
    <row r="17" spans="1:3" ht="15" customHeight="1" x14ac:dyDescent="0.25">
      <c r="A17" s="18" t="s">
        <v>260</v>
      </c>
      <c r="B17" s="19" t="s">
        <v>261</v>
      </c>
      <c r="C17" s="19" t="s">
        <v>262</v>
      </c>
    </row>
    <row r="18" spans="1:3" ht="15" customHeight="1" x14ac:dyDescent="0.25">
      <c r="A18" s="18" t="s">
        <v>263</v>
      </c>
      <c r="B18" s="19" t="s">
        <v>264</v>
      </c>
      <c r="C18" s="19" t="s">
        <v>265</v>
      </c>
    </row>
    <row r="19" spans="1:3" ht="15" customHeight="1" x14ac:dyDescent="0.25">
      <c r="A19" s="18" t="s">
        <v>266</v>
      </c>
      <c r="B19" s="19" t="s">
        <v>267</v>
      </c>
      <c r="C19" s="19" t="s">
        <v>268</v>
      </c>
    </row>
    <row r="20" spans="1:3" ht="15" customHeight="1" x14ac:dyDescent="0.25">
      <c r="A20" s="18"/>
      <c r="B20" s="19"/>
      <c r="C20" s="19"/>
    </row>
    <row r="21" spans="1:3" ht="23.25" customHeight="1" x14ac:dyDescent="0.25">
      <c r="A21" s="18" t="s">
        <v>269</v>
      </c>
      <c r="B21" s="19"/>
      <c r="C21" s="19"/>
    </row>
    <row r="22" spans="1:3" ht="15" customHeight="1" x14ac:dyDescent="0.25">
      <c r="A22" s="18" t="s">
        <v>270</v>
      </c>
      <c r="B22" s="19" t="s">
        <v>271</v>
      </c>
      <c r="C22" s="19" t="s">
        <v>272</v>
      </c>
    </row>
    <row r="23" spans="1:3" ht="15" customHeight="1" x14ac:dyDescent="0.25">
      <c r="A23" s="18" t="s">
        <v>273</v>
      </c>
      <c r="B23" s="19" t="s">
        <v>274</v>
      </c>
      <c r="C23" s="19" t="s">
        <v>275</v>
      </c>
    </row>
    <row r="24" spans="1:3" ht="15" customHeight="1" x14ac:dyDescent="0.25">
      <c r="A24" s="18" t="s">
        <v>276</v>
      </c>
      <c r="B24" s="19" t="s">
        <v>277</v>
      </c>
      <c r="C24" s="19" t="s">
        <v>278</v>
      </c>
    </row>
    <row r="25" spans="1:3" ht="15" customHeight="1" x14ac:dyDescent="0.25">
      <c r="A25" s="18" t="s">
        <v>279</v>
      </c>
      <c r="B25" s="19" t="s">
        <v>280</v>
      </c>
      <c r="C25" s="19" t="s">
        <v>281</v>
      </c>
    </row>
    <row r="26" spans="1:3" ht="15" customHeight="1" x14ac:dyDescent="0.25">
      <c r="A26" s="18" t="s">
        <v>282</v>
      </c>
      <c r="B26" s="19" t="s">
        <v>283</v>
      </c>
      <c r="C26" s="19" t="s">
        <v>284</v>
      </c>
    </row>
    <row r="27" spans="1:3" ht="23.25" customHeight="1" x14ac:dyDescent="0.25">
      <c r="A27" s="18" t="s">
        <v>266</v>
      </c>
      <c r="B27" s="19" t="s">
        <v>285</v>
      </c>
      <c r="C27" s="19" t="s">
        <v>286</v>
      </c>
    </row>
    <row r="28" spans="1:3" ht="15" customHeight="1" x14ac:dyDescent="0.25">
      <c r="A28" s="18"/>
      <c r="B28" s="19"/>
      <c r="C28" s="19"/>
    </row>
    <row r="29" spans="1:3" ht="26.25" customHeight="1" x14ac:dyDescent="0.25">
      <c r="A29" s="20" t="s">
        <v>287</v>
      </c>
      <c r="B29" s="19"/>
      <c r="C29" s="19"/>
    </row>
    <row r="30" spans="1:3" ht="15" customHeight="1" x14ac:dyDescent="0.25">
      <c r="A30" s="18" t="s">
        <v>288</v>
      </c>
      <c r="B30" s="19" t="s">
        <v>289</v>
      </c>
      <c r="C30" s="19" t="s">
        <v>290</v>
      </c>
    </row>
    <row r="31" spans="1:3" ht="15" customHeight="1" x14ac:dyDescent="0.25">
      <c r="A31" s="18" t="s">
        <v>291</v>
      </c>
      <c r="B31" s="19" t="s">
        <v>292</v>
      </c>
      <c r="C31" s="19" t="s">
        <v>293</v>
      </c>
    </row>
    <row r="32" spans="1:3" ht="15" customHeight="1" x14ac:dyDescent="0.25">
      <c r="A32" s="18" t="s">
        <v>294</v>
      </c>
      <c r="B32" s="19" t="s">
        <v>295</v>
      </c>
      <c r="C32" s="19" t="s">
        <v>296</v>
      </c>
    </row>
    <row r="33" spans="1:3" ht="15" customHeight="1" x14ac:dyDescent="0.25">
      <c r="A33" s="18" t="s">
        <v>297</v>
      </c>
      <c r="B33" s="19" t="s">
        <v>298</v>
      </c>
      <c r="C33" s="19" t="s">
        <v>299</v>
      </c>
    </row>
    <row r="34" spans="1:3" ht="15" customHeight="1" x14ac:dyDescent="0.25">
      <c r="A34" s="18" t="s">
        <v>300</v>
      </c>
      <c r="B34" s="19" t="s">
        <v>301</v>
      </c>
      <c r="C34" s="19" t="s">
        <v>302</v>
      </c>
    </row>
    <row r="35" spans="1:3" ht="15" customHeight="1" x14ac:dyDescent="0.25">
      <c r="A35" s="18" t="s">
        <v>70</v>
      </c>
      <c r="B35" s="19" t="s">
        <v>303</v>
      </c>
      <c r="C35" s="19" t="s">
        <v>304</v>
      </c>
    </row>
    <row r="36" spans="1:3" ht="15" customHeight="1" x14ac:dyDescent="0.25">
      <c r="A36" s="18" t="s">
        <v>305</v>
      </c>
      <c r="B36" s="19" t="s">
        <v>306</v>
      </c>
      <c r="C36" s="19" t="s">
        <v>307</v>
      </c>
    </row>
    <row r="37" spans="1:3" ht="15" customHeight="1" x14ac:dyDescent="0.25">
      <c r="A37" s="18" t="s">
        <v>308</v>
      </c>
      <c r="B37" s="19" t="s">
        <v>309</v>
      </c>
      <c r="C37" s="19" t="s">
        <v>310</v>
      </c>
    </row>
    <row r="38" spans="1:3" ht="15" customHeight="1" x14ac:dyDescent="0.25">
      <c r="A38" s="18" t="s">
        <v>311</v>
      </c>
      <c r="B38" s="19" t="s">
        <v>312</v>
      </c>
      <c r="C38" s="19" t="s">
        <v>313</v>
      </c>
    </row>
    <row r="39" spans="1:3" ht="15" customHeight="1" x14ac:dyDescent="0.25">
      <c r="A39" s="18" t="s">
        <v>314</v>
      </c>
      <c r="B39" s="19" t="s">
        <v>315</v>
      </c>
      <c r="C39" s="19" t="s">
        <v>316</v>
      </c>
    </row>
    <row r="40" spans="1:3" ht="15" customHeight="1" x14ac:dyDescent="0.25">
      <c r="A40" s="18"/>
      <c r="B40" s="19"/>
      <c r="C40" s="19"/>
    </row>
    <row r="41" spans="1:3" ht="15" customHeight="1" x14ac:dyDescent="0.25">
      <c r="A41" s="20" t="s">
        <v>317</v>
      </c>
      <c r="B41" s="19"/>
      <c r="C41" s="19"/>
    </row>
    <row r="42" spans="1:3" ht="15" customHeight="1" x14ac:dyDescent="0.25">
      <c r="A42" s="18" t="s">
        <v>140</v>
      </c>
      <c r="B42" s="19" t="s">
        <v>318</v>
      </c>
      <c r="C42" s="19" t="s">
        <v>319</v>
      </c>
    </row>
    <row r="43" spans="1:3" ht="23.25" customHeight="1" x14ac:dyDescent="0.25">
      <c r="A43" s="18" t="s">
        <v>60</v>
      </c>
      <c r="B43" s="19" t="s">
        <v>320</v>
      </c>
      <c r="C43" s="19" t="s">
        <v>321</v>
      </c>
    </row>
    <row r="44" spans="1:3" ht="15" customHeight="1" x14ac:dyDescent="0.25">
      <c r="A44" s="18" t="s">
        <v>322</v>
      </c>
      <c r="B44" s="19" t="s">
        <v>323</v>
      </c>
      <c r="C44" s="19" t="s">
        <v>324</v>
      </c>
    </row>
    <row r="45" spans="1:3" ht="15" customHeight="1" x14ac:dyDescent="0.25">
      <c r="A45" s="18" t="s">
        <v>325</v>
      </c>
      <c r="B45" s="19" t="s">
        <v>326</v>
      </c>
      <c r="C45" s="19" t="s">
        <v>327</v>
      </c>
    </row>
    <row r="46" spans="1:3" ht="15" customHeight="1" x14ac:dyDescent="0.25">
      <c r="A46" s="18" t="s">
        <v>328</v>
      </c>
      <c r="B46" s="19" t="s">
        <v>329</v>
      </c>
      <c r="C46" s="19" t="s">
        <v>330</v>
      </c>
    </row>
    <row r="47" spans="1:3" ht="15" customHeight="1" x14ac:dyDescent="0.25">
      <c r="A47" s="18" t="s">
        <v>331</v>
      </c>
      <c r="B47" s="19" t="s">
        <v>332</v>
      </c>
      <c r="C47" s="19" t="s">
        <v>333</v>
      </c>
    </row>
    <row r="48" spans="1:3" ht="15" customHeight="1" x14ac:dyDescent="0.25">
      <c r="A48" s="18"/>
      <c r="B48" s="19"/>
      <c r="C48" s="19"/>
    </row>
    <row r="49" spans="1:3" ht="15" customHeight="1" x14ac:dyDescent="0.25">
      <c r="A49" s="20" t="s">
        <v>334</v>
      </c>
      <c r="B49" s="19"/>
      <c r="C49" s="19"/>
    </row>
    <row r="50" spans="1:3" ht="15" customHeight="1" x14ac:dyDescent="0.25">
      <c r="A50" s="18" t="s">
        <v>335</v>
      </c>
      <c r="B50" s="19" t="s">
        <v>336</v>
      </c>
      <c r="C50" s="19" t="s">
        <v>337</v>
      </c>
    </row>
    <row r="51" spans="1:3" ht="15" customHeight="1" x14ac:dyDescent="0.25">
      <c r="A51" s="18" t="s">
        <v>338</v>
      </c>
      <c r="B51" s="19" t="s">
        <v>339</v>
      </c>
      <c r="C51" s="19" t="s">
        <v>340</v>
      </c>
    </row>
    <row r="52" spans="1:3" ht="15" customHeight="1" x14ac:dyDescent="0.25">
      <c r="A52" s="18" t="s">
        <v>341</v>
      </c>
      <c r="B52" s="19" t="s">
        <v>342</v>
      </c>
      <c r="C52" s="19" t="s">
        <v>343</v>
      </c>
    </row>
    <row r="53" spans="1:3" ht="15" customHeight="1" x14ac:dyDescent="0.25">
      <c r="A53" s="18" t="s">
        <v>344</v>
      </c>
      <c r="B53" s="19" t="s">
        <v>345</v>
      </c>
      <c r="C53" s="19" t="s">
        <v>346</v>
      </c>
    </row>
    <row r="54" spans="1:3" ht="15" customHeight="1" x14ac:dyDescent="0.25">
      <c r="A54" s="18" t="s">
        <v>347</v>
      </c>
      <c r="B54" s="19" t="s">
        <v>348</v>
      </c>
      <c r="C54" s="19" t="s">
        <v>349</v>
      </c>
    </row>
    <row r="55" spans="1:3" ht="15" customHeight="1" x14ac:dyDescent="0.25">
      <c r="A55" s="18"/>
      <c r="B55" s="19"/>
      <c r="C55" s="19"/>
    </row>
    <row r="56" spans="1:3" ht="15" customHeight="1" x14ac:dyDescent="0.25">
      <c r="A56" s="20" t="s">
        <v>350</v>
      </c>
      <c r="B56" s="19" t="s">
        <v>351</v>
      </c>
      <c r="C56" s="19" t="s">
        <v>352</v>
      </c>
    </row>
    <row r="57" spans="1:3" ht="15" customHeight="1" x14ac:dyDescent="0.25">
      <c r="A57" s="20" t="s">
        <v>353</v>
      </c>
      <c r="B57" s="19" t="s">
        <v>354</v>
      </c>
      <c r="C57" s="19" t="s">
        <v>355</v>
      </c>
    </row>
    <row r="59" spans="1:3" ht="15.75" x14ac:dyDescent="0.25">
      <c r="A59" s="11" t="s">
        <v>356</v>
      </c>
    </row>
    <row r="60" spans="1:3" ht="25.5" x14ac:dyDescent="0.25">
      <c r="A60" s="18" t="s">
        <v>357</v>
      </c>
      <c r="B60" s="19" t="s">
        <v>358</v>
      </c>
      <c r="C60" s="19" t="s">
        <v>359</v>
      </c>
    </row>
    <row r="61" spans="1:3" x14ac:dyDescent="0.25">
      <c r="A61" s="18" t="s">
        <v>360</v>
      </c>
      <c r="B61" s="19" t="s">
        <v>361</v>
      </c>
      <c r="C61" s="19" t="s">
        <v>362</v>
      </c>
    </row>
    <row r="62" spans="1:3" ht="25.5" x14ac:dyDescent="0.25">
      <c r="A62" s="18" t="s">
        <v>363</v>
      </c>
      <c r="B62" s="19" t="s">
        <v>364</v>
      </c>
      <c r="C62" s="19" t="s">
        <v>365</v>
      </c>
    </row>
    <row r="63" spans="1:3" ht="25.5" x14ac:dyDescent="0.25">
      <c r="A63" s="18" t="s">
        <v>366</v>
      </c>
      <c r="B63" s="19" t="s">
        <v>367</v>
      </c>
      <c r="C63" s="19" t="s">
        <v>368</v>
      </c>
    </row>
    <row r="64" spans="1:3" ht="25.5" x14ac:dyDescent="0.25">
      <c r="A64" s="18" t="s">
        <v>369</v>
      </c>
      <c r="B64" s="19" t="s">
        <v>370</v>
      </c>
      <c r="C64" s="19" t="s">
        <v>371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7999B"/>
  </sheetPr>
  <dimension ref="A1:B15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80" customWidth="1"/>
  </cols>
  <sheetData>
    <row r="1" spans="1:2" ht="17.25" customHeight="1" x14ac:dyDescent="0.25">
      <c r="A1" s="1" t="s">
        <v>372</v>
      </c>
    </row>
    <row r="3" spans="1:2" ht="15" customHeight="1" x14ac:dyDescent="0.25">
      <c r="A3" s="21" t="s">
        <v>335</v>
      </c>
      <c r="B3" s="22" t="s">
        <v>373</v>
      </c>
    </row>
    <row r="4" spans="1:2" ht="15" customHeight="1" x14ac:dyDescent="0.25">
      <c r="A4" s="21" t="s">
        <v>338</v>
      </c>
      <c r="B4" s="22" t="s">
        <v>374</v>
      </c>
    </row>
    <row r="5" spans="1:2" ht="15" customHeight="1" x14ac:dyDescent="0.25">
      <c r="A5" s="21" t="s">
        <v>341</v>
      </c>
      <c r="B5" s="22" t="s">
        <v>339</v>
      </c>
    </row>
    <row r="6" spans="1:2" ht="15" customHeight="1" x14ac:dyDescent="0.25">
      <c r="A6" s="21" t="s">
        <v>344</v>
      </c>
      <c r="B6" s="22" t="s">
        <v>375</v>
      </c>
    </row>
    <row r="7" spans="1:2" ht="15" customHeight="1" x14ac:dyDescent="0.25">
      <c r="A7" s="21" t="s">
        <v>347</v>
      </c>
      <c r="B7" s="22" t="s">
        <v>376</v>
      </c>
    </row>
    <row r="8" spans="1:2" ht="15" customHeight="1" x14ac:dyDescent="0.25">
      <c r="A8" s="21" t="s">
        <v>377</v>
      </c>
      <c r="B8" s="22" t="s">
        <v>378</v>
      </c>
    </row>
    <row r="9" spans="1:2" ht="15" customHeight="1" x14ac:dyDescent="0.25">
      <c r="A9" s="21"/>
      <c r="B9" s="22"/>
    </row>
    <row r="10" spans="1:2" ht="15" customHeight="1" x14ac:dyDescent="0.25">
      <c r="A10" s="21" t="s">
        <v>379</v>
      </c>
      <c r="B10" s="22">
        <f>_xll.BDP("AAPL US Equity","PX_LAST")</f>
        <v>259.44499999999999</v>
      </c>
    </row>
    <row r="11" spans="1:2" ht="15" customHeight="1" x14ac:dyDescent="0.25">
      <c r="A11" s="21" t="s">
        <v>380</v>
      </c>
      <c r="B11" s="22" t="str">
        <f>_xll.BQL("get(px_last) for('AAPL US Equity')")</f>
        <v>#N/A Mandatory parameter [FIELDS] not provided</v>
      </c>
    </row>
    <row r="12" spans="1:2" ht="23.25" customHeight="1" x14ac:dyDescent="0.25">
      <c r="A12" s="21" t="s">
        <v>381</v>
      </c>
      <c r="B12" s="22" t="s">
        <v>382</v>
      </c>
    </row>
    <row r="13" spans="1:2" ht="23.25" customHeight="1" x14ac:dyDescent="0.25">
      <c r="A13" s="21"/>
      <c r="B13" s="22" t="s">
        <v>383</v>
      </c>
    </row>
    <row r="14" spans="1:2" ht="15" customHeight="1" x14ac:dyDescent="0.25">
      <c r="A14" s="21" t="s">
        <v>384</v>
      </c>
      <c r="B14" s="22" t="s">
        <v>385</v>
      </c>
    </row>
    <row r="15" spans="1:2" ht="15" customHeight="1" x14ac:dyDescent="0.25">
      <c r="A15" s="21" t="s">
        <v>386</v>
      </c>
      <c r="B15" s="22" t="s">
        <v>387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B43EA527B514F93D08FB968057A82" ma:contentTypeVersion="243" ma:contentTypeDescription="Create a new document." ma:contentTypeScope="" ma:versionID="5e46b0f34f1b39fab1a0134fd358b530">
  <xsd:schema xmlns:xsd="http://www.w3.org/2001/XMLSchema" xmlns:xs="http://www.w3.org/2001/XMLSchema" xmlns:p="http://schemas.microsoft.com/office/2006/metadata/properties" xmlns:ns1="http://schemas.microsoft.com/sharepoint/v3" xmlns:ns2="897b928f-f5ac-4f25-baef-9d7f70272a26" xmlns:ns3="9747b142-dfdd-4817-9810-e5d2ee15aff5" targetNamespace="http://schemas.microsoft.com/office/2006/metadata/properties" ma:root="true" ma:fieldsID="c4d576c8cbdad003e6aaba254a116c1e" ns1:_="" ns2:_="" ns3:_="">
    <xsd:import namespace="http://schemas.microsoft.com/sharepoint/v3"/>
    <xsd:import namespace="897b928f-f5ac-4f25-baef-9d7f70272a26"/>
    <xsd:import namespace="9747b142-dfdd-4817-9810-e5d2ee15af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b928f-f5ac-4f25-baef-9d7f70272a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c5d517-9469-47f6-a4fe-c187555e8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7b142-dfdd-4817-9810-e5d2ee15aff5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4d7f708-83ed-49d0-9e54-af4703ad63bf}" ma:internalName="TaxCatchAll" ma:showField="CatchAllData" ma:web="9747b142-dfdd-4817-9810-e5d2ee15af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7b928f-f5ac-4f25-baef-9d7f70272a26">
      <Terms xmlns="http://schemas.microsoft.com/office/infopath/2007/PartnerControls"/>
    </lcf76f155ced4ddcb4097134ff3c332f>
    <_ip_UnifiedCompliancePolicyUIAction xmlns="http://schemas.microsoft.com/sharepoint/v3" xsi:nil="true"/>
    <TaxCatchAll xmlns="9747b142-dfdd-4817-9810-e5d2ee15aff5" xsi:nil="true"/>
    <_ip_UnifiedCompliancePolicyProperties xmlns="http://schemas.microsoft.com/sharepoint/v3" xsi:nil="true"/>
    <_dlc_DocId xmlns="9747b142-dfdd-4817-9810-e5d2ee15aff5">WNDKFM4FVC6C-1588238339-5851898</_dlc_DocId>
    <_dlc_DocIdUrl xmlns="9747b142-dfdd-4817-9810-e5d2ee15aff5">
      <Url>https://westwoodgrp.sharepoint.com/sites/MultiAssets/_layouts/15/DocIdRedir.aspx?ID=WNDKFM4FVC6C-1588238339-5851898</Url>
      <Description>WNDKFM4FVC6C-1588238339-5851898</Description>
    </_dlc_DocIdUrl>
  </documentManagement>
</p:properties>
</file>

<file path=customXml/itemProps1.xml><?xml version="1.0" encoding="utf-8"?>
<ds:datastoreItem xmlns:ds="http://schemas.openxmlformats.org/officeDocument/2006/customXml" ds:itemID="{E8993738-B600-4E11-81CD-D01C13422B48}"/>
</file>

<file path=customXml/itemProps2.xml><?xml version="1.0" encoding="utf-8"?>
<ds:datastoreItem xmlns:ds="http://schemas.openxmlformats.org/officeDocument/2006/customXml" ds:itemID="{92B93F19-D07C-4AC5-BC65-8A880E98055C}"/>
</file>

<file path=customXml/itemProps3.xml><?xml version="1.0" encoding="utf-8"?>
<ds:datastoreItem xmlns:ds="http://schemas.openxmlformats.org/officeDocument/2006/customXml" ds:itemID="{EFA6BC0E-7857-4EB5-971E-414169F6171D}"/>
</file>

<file path=customXml/itemProps4.xml><?xml version="1.0" encoding="utf-8"?>
<ds:datastoreItem xmlns:ds="http://schemas.openxmlformats.org/officeDocument/2006/customXml" ds:itemID="{81F48AA6-9134-4063-BC51-7CA8D92D904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 Input</vt:lpstr>
      <vt:lpstr>Moat Scoring</vt:lpstr>
      <vt:lpstr>Business Model Risk</vt:lpstr>
      <vt:lpstr>Portfolio Dashboard</vt:lpstr>
      <vt:lpstr>Sector Analysis</vt:lpstr>
      <vt:lpstr>Subsector Analysis</vt:lpstr>
      <vt:lpstr>Methodology &amp; Wiki</vt:lpstr>
      <vt:lpstr>Bloomberg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Helfert, Adrian</cp:lastModifiedBy>
  <cp:revision>0</cp:revision>
  <dcterms:created xsi:type="dcterms:W3CDTF">2026-02-13T15:50:01Z</dcterms:created>
  <dcterms:modified xsi:type="dcterms:W3CDTF">2026-02-13T17:17:47Z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0x010100CADB43EA527B514F93D08FB968057A82</vt:lpwstr>
  </property>
  <property fmtid="{D5CDD505-2E9C-101B-9397-08002B2CF9AE}" pid="3" name="_dlc_DocIdItemGuid">
    <vt:lpwstr>73c7a521-6bc2-4726-8f98-5cda46ba702c</vt:lpwstr>
  </property>
</Properties>
</file>